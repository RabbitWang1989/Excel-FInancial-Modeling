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419B3BE6-C528-4648-8496-1FD41D69ABAB}" xr6:coauthVersionLast="47" xr6:coauthVersionMax="47" xr10:uidLastSave="{00000000-0000-0000-0000-000000000000}"/>
  <bookViews>
    <workbookView xWindow="-6600" yWindow="-13068" windowWidth="23256" windowHeight="13176" xr2:uid="{F6A92337-4E2B-42AA-AEA7-AFF42319F4AB}"/>
  </bookViews>
  <sheets>
    <sheet name="目录" sheetId="2" r:id="rId1"/>
    <sheet name="简介" sheetId="18" r:id="rId2"/>
    <sheet name="一期看涨期权定价" sheetId="19" r:id="rId3"/>
    <sheet name="一期看跌期权定价" sheetId="20" r:id="rId4"/>
    <sheet name="复制法" sheetId="23" r:id="rId5"/>
    <sheet name="风险中性定价方法" sheetId="21" r:id="rId6"/>
    <sheet name="状态价格" sheetId="24" r:id="rId7"/>
    <sheet name="一个简单二步二叉树案例" sheetId="25" r:id="rId8"/>
    <sheet name="用数据表进行一步计算" sheetId="26" r:id="rId9"/>
    <sheet name="用VBA计算欧式期权" sheetId="28" r:id="rId10"/>
    <sheet name="二叉树美式期权" sheetId="31" r:id="rId11"/>
    <sheet name="用VBA计算美式期权" sheetId="32" r:id="rId12"/>
  </sheets>
  <functionGroups builtInGroupCount="19"/>
  <definedNames>
    <definedName name="_xlpm.r" hidden="1" xlm="1">#NAME?</definedName>
    <definedName name="D">二叉树美式期权!$C$10</definedName>
    <definedName name="roadmap">GET.WORKBOOK(1)</definedName>
    <definedName name="Sd">二叉树美式期权!$C$15</definedName>
    <definedName name="Su">二叉树美式期权!$C$14</definedName>
    <definedName name="U">二叉树美式期权!$C$9</definedName>
    <definedName name="X">二叉树美式期权!$C$8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31" l="1"/>
  <c r="D32" i="31"/>
  <c r="F37" i="31"/>
  <c r="F35" i="31"/>
  <c r="F33" i="31"/>
  <c r="F31" i="31"/>
  <c r="F26" i="31"/>
  <c r="F24" i="31"/>
  <c r="F22" i="31"/>
  <c r="F20" i="31"/>
  <c r="D25" i="31"/>
  <c r="D21" i="31"/>
  <c r="C12" i="32"/>
  <c r="C11" i="32"/>
  <c r="C10" i="32"/>
  <c r="C14" i="32" s="1"/>
  <c r="C16" i="32" s="1"/>
  <c r="B23" i="31"/>
  <c r="C11" i="31"/>
  <c r="C10" i="31"/>
  <c r="C9" i="31"/>
  <c r="C13" i="31" s="1"/>
  <c r="C15" i="31" s="1"/>
  <c r="G4" i="32" a="1"/>
  <c r="B4" i="2"/>
  <c r="B8" i="2"/>
  <c r="B12" i="2"/>
  <c r="B16" i="2"/>
  <c r="B20" i="2"/>
  <c r="B24" i="2"/>
  <c r="B28" i="2"/>
  <c r="B32" i="2"/>
  <c r="B36" i="2"/>
  <c r="B7" i="2"/>
  <c r="B19" i="2"/>
  <c r="B23" i="2"/>
  <c r="B35" i="2"/>
  <c r="B3" i="2"/>
  <c r="B6" i="2"/>
  <c r="B10" i="2"/>
  <c r="B14" i="2"/>
  <c r="B18" i="2"/>
  <c r="B22" i="2"/>
  <c r="B26" i="2"/>
  <c r="B30" i="2"/>
  <c r="B34" i="2"/>
  <c r="B5" i="2"/>
  <c r="B9" i="2"/>
  <c r="B13" i="2"/>
  <c r="B17" i="2"/>
  <c r="B21" i="2"/>
  <c r="B25" i="2"/>
  <c r="B29" i="2"/>
  <c r="B33" i="2"/>
  <c r="B37" i="2"/>
  <c r="B11" i="2"/>
  <c r="B15" i="2"/>
  <c r="B27" i="2"/>
  <c r="B31" i="2"/>
  <c r="G5" i="32" a="1"/>
  <c r="G31" i="31"/>
  <c r="G33" i="31"/>
  <c r="G35" i="31"/>
  <c r="G37" i="31"/>
  <c r="G4" i="32" l="1"/>
  <c r="A31" i="2"/>
  <c r="C31" i="2"/>
  <c r="A27" i="2"/>
  <c r="C27" i="2"/>
  <c r="A15" i="2"/>
  <c r="C15" i="2"/>
  <c r="A11" i="2"/>
  <c r="C11" i="2"/>
  <c r="C37" i="2"/>
  <c r="A37" i="2"/>
  <c r="C33" i="2"/>
  <c r="A33" i="2"/>
  <c r="C29" i="2"/>
  <c r="A29" i="2"/>
  <c r="C25" i="2"/>
  <c r="A25" i="2"/>
  <c r="C21" i="2"/>
  <c r="A21" i="2"/>
  <c r="C17" i="2"/>
  <c r="A17" i="2"/>
  <c r="C13" i="2"/>
  <c r="A13" i="2"/>
  <c r="C9" i="2"/>
  <c r="A9" i="2"/>
  <c r="C5" i="2"/>
  <c r="A5" i="2"/>
  <c r="A34" i="2"/>
  <c r="C34" i="2"/>
  <c r="A30" i="2"/>
  <c r="C30" i="2"/>
  <c r="C26" i="2"/>
  <c r="A26" i="2"/>
  <c r="C22" i="2"/>
  <c r="A22" i="2"/>
  <c r="A18" i="2"/>
  <c r="C18" i="2"/>
  <c r="A14" i="2"/>
  <c r="C14" i="2"/>
  <c r="A10" i="2"/>
  <c r="C10" i="2"/>
  <c r="A6" i="2"/>
  <c r="C6" i="2"/>
  <c r="A3" i="2"/>
  <c r="C3" i="2"/>
  <c r="A35" i="2"/>
  <c r="C35" i="2"/>
  <c r="A23" i="2"/>
  <c r="C23" i="2"/>
  <c r="A19" i="2"/>
  <c r="C19" i="2"/>
  <c r="A7" i="2"/>
  <c r="C7" i="2"/>
  <c r="A36" i="2"/>
  <c r="C36" i="2"/>
  <c r="C32" i="2"/>
  <c r="A32" i="2"/>
  <c r="C28" i="2"/>
  <c r="A28" i="2"/>
  <c r="A24" i="2"/>
  <c r="C24" i="2"/>
  <c r="A20" i="2"/>
  <c r="C20" i="2"/>
  <c r="C16" i="2"/>
  <c r="A16" i="2"/>
  <c r="C12" i="2"/>
  <c r="A12" i="2"/>
  <c r="A8" i="2"/>
  <c r="C8" i="2"/>
  <c r="C4" i="2"/>
  <c r="A4" i="2"/>
  <c r="G5" i="32"/>
  <c r="C13" i="32"/>
  <c r="C15" i="32" s="1"/>
  <c r="C12" i="31"/>
  <c r="C14" i="31" s="1"/>
  <c r="B41" i="28" a="1"/>
  <c r="B41" i="28" s="1"/>
  <c r="C12" i="28"/>
  <c r="C13" i="28" s="1"/>
  <c r="C15" i="28" s="1"/>
  <c r="C11" i="28"/>
  <c r="C10" i="28"/>
  <c r="C14" i="28" s="1"/>
  <c r="C16" i="28" s="1"/>
  <c r="B41" i="26" a="1"/>
  <c r="B41" i="26" s="1"/>
  <c r="B27" i="25"/>
  <c r="C11" i="25"/>
  <c r="C10" i="25"/>
  <c r="D29" i="25" s="1"/>
  <c r="C9" i="25"/>
  <c r="C10" i="26"/>
  <c r="C13" i="26"/>
  <c r="C15" i="26" s="1"/>
  <c r="C12" i="26"/>
  <c r="C11" i="26"/>
  <c r="C14" i="26"/>
  <c r="C16" i="26" s="1"/>
  <c r="D54" i="21"/>
  <c r="C65" i="21" s="1"/>
  <c r="C69" i="21" s="1"/>
  <c r="D56" i="21"/>
  <c r="D49" i="21"/>
  <c r="D62" i="21" s="1"/>
  <c r="D47" i="21"/>
  <c r="D60" i="21" s="1"/>
  <c r="C66" i="21" s="1"/>
  <c r="C70" i="21" s="1"/>
  <c r="C43" i="21"/>
  <c r="C42" i="21"/>
  <c r="C37" i="23"/>
  <c r="C39" i="23" s="1"/>
  <c r="C36" i="23"/>
  <c r="C38" i="23" s="1"/>
  <c r="C40" i="23" s="1"/>
  <c r="C41" i="23" s="1"/>
  <c r="D25" i="20"/>
  <c r="H18" i="20"/>
  <c r="D18" i="20"/>
  <c r="H16" i="20"/>
  <c r="D16" i="20"/>
  <c r="D23" i="20" s="1"/>
  <c r="C36" i="20" s="1"/>
  <c r="H27" i="19"/>
  <c r="H25" i="19"/>
  <c r="D27" i="19"/>
  <c r="D34" i="19" s="1"/>
  <c r="D25" i="19"/>
  <c r="D32" i="19" s="1"/>
  <c r="C45" i="19" s="1"/>
  <c r="B2" i="2"/>
  <c r="G8" i="28" a="1"/>
  <c r="G7" i="28" a="1"/>
  <c r="G41" i="25"/>
  <c r="E32" i="19"/>
  <c r="D45" i="19"/>
  <c r="E60" i="21"/>
  <c r="D70" i="21"/>
  <c r="D37" i="20"/>
  <c r="E47" i="21"/>
  <c r="D66" i="21"/>
  <c r="D42" i="20"/>
  <c r="I25" i="19"/>
  <c r="G39" i="25"/>
  <c r="D65" i="21"/>
  <c r="E16" i="20"/>
  <c r="G5" i="26"/>
  <c r="E54" i="21"/>
  <c r="E27" i="19"/>
  <c r="E49" i="21"/>
  <c r="D42" i="21"/>
  <c r="E18" i="20"/>
  <c r="D51" i="19"/>
  <c r="D46" i="19"/>
  <c r="E56" i="21"/>
  <c r="D43" i="21"/>
  <c r="E62" i="21"/>
  <c r="D36" i="20"/>
  <c r="I18" i="20"/>
  <c r="E23" i="20"/>
  <c r="G37" i="25"/>
  <c r="I16" i="20"/>
  <c r="E25" i="19"/>
  <c r="D69" i="21"/>
  <c r="E34" i="19"/>
  <c r="G35" i="25"/>
  <c r="E25" i="20"/>
  <c r="I27" i="19"/>
  <c r="C12" i="25" l="1"/>
  <c r="C14" i="25" s="1"/>
  <c r="C13" i="25"/>
  <c r="C15" i="25" s="1"/>
  <c r="D25" i="25"/>
  <c r="F26" i="25" s="1"/>
  <c r="F37" i="25" s="1"/>
  <c r="F28" i="25"/>
  <c r="F39" i="25" s="1"/>
  <c r="F30" i="25"/>
  <c r="F41" i="25" s="1"/>
  <c r="G8" i="28"/>
  <c r="G7" i="28"/>
  <c r="G41" i="28" a="1"/>
  <c r="G41" i="28" s="1"/>
  <c r="C41" i="28" a="1"/>
  <c r="C41" i="28" s="1"/>
  <c r="F41" i="28" s="1" a="1"/>
  <c r="F41" i="28" s="1"/>
  <c r="G41" i="26" a="1"/>
  <c r="G41" i="26" s="1"/>
  <c r="C41" i="26" a="1"/>
  <c r="C41" i="26" s="1"/>
  <c r="C37" i="20"/>
  <c r="C42" i="20" s="1"/>
  <c r="C46" i="19"/>
  <c r="C51" i="19" s="1"/>
  <c r="A2" i="2"/>
  <c r="C2" i="2"/>
  <c r="B34" i="31" l="1"/>
  <c r="F24" i="25"/>
  <c r="F35" i="25" s="1"/>
  <c r="D36" i="25" s="1"/>
  <c r="D40" i="25"/>
  <c r="D41" i="28" a="1"/>
  <c r="D41" i="28" s="1"/>
  <c r="E41" i="28" s="1" a="1"/>
  <c r="E41" i="28" s="1"/>
  <c r="H41" i="28" s="1" a="1"/>
  <c r="H41" i="28" s="1"/>
  <c r="G4" i="28" s="1"/>
  <c r="G5" i="28" s="1"/>
  <c r="D41" i="26" a="1"/>
  <c r="D41" i="26" s="1"/>
  <c r="E41" i="26" s="1" a="1"/>
  <c r="E41" i="26" s="1"/>
  <c r="H41" i="26" s="1" a="1"/>
  <c r="H41" i="26" s="1"/>
  <c r="F4" i="26" s="1"/>
  <c r="F5" i="26" s="1"/>
  <c r="F41" i="26" a="1"/>
  <c r="F41" i="26" s="1"/>
  <c r="B38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<sst xmlns="http://schemas.openxmlformats.org/spreadsheetml/2006/main" count="316" uniqueCount="155">
  <si>
    <t>序号</t>
    <phoneticPr fontId="1" type="noConversion"/>
  </si>
  <si>
    <t>目录</t>
    <phoneticPr fontId="1" type="noConversion"/>
  </si>
  <si>
    <t>链接</t>
    <phoneticPr fontId="1" type="noConversion"/>
  </si>
  <si>
    <t>back</t>
    <phoneticPr fontId="1" type="noConversion"/>
  </si>
  <si>
    <t>二叉树期权定价模型</t>
  </si>
  <si>
    <t>二叉树期权定价模型有很多好处：</t>
  </si>
  <si>
    <t>1. 一个非常简单的模型</t>
  </si>
  <si>
    <t>2. 非常容易进行建模</t>
  </si>
  <si>
    <t>3. 可以灵活运用到很多复杂的场景</t>
  </si>
  <si>
    <t>当遇到类似期权这种本身价格取决于基础资产价格变化的资产，如果运用二叉树进行多期的递推，可以很有效地资产进行定价。</t>
  </si>
  <si>
    <t>一期二叉树定价模型——看涨期权</t>
    <phoneticPr fontId="1" type="noConversion"/>
  </si>
  <si>
    <t>基础条件：</t>
    <phoneticPr fontId="1" type="noConversion"/>
  </si>
  <si>
    <r>
      <t>1. 日期：如果期限只有一期，日期只有两个，今天就是日期T</t>
    </r>
    <r>
      <rPr>
        <b/>
        <vertAlign val="subscript"/>
        <sz val="14"/>
        <color theme="1"/>
        <rFont val="等线"/>
        <family val="3"/>
        <charset val="134"/>
        <scheme val="minor"/>
      </rPr>
      <t>0</t>
    </r>
    <r>
      <rPr>
        <b/>
        <sz val="14"/>
        <color theme="1"/>
        <rFont val="等线"/>
        <family val="3"/>
        <charset val="134"/>
        <scheme val="minor"/>
      </rPr>
      <t>，一年以后的今天就是T</t>
    </r>
    <r>
      <rPr>
        <b/>
        <vertAlign val="subscript"/>
        <sz val="14"/>
        <color theme="1"/>
        <rFont val="等线"/>
        <family val="3"/>
        <charset val="134"/>
        <scheme val="minor"/>
      </rPr>
      <t>1</t>
    </r>
    <phoneticPr fontId="1" type="noConversion"/>
  </si>
  <si>
    <t>2. 基础资产： 一只股票、一只债券</t>
    <phoneticPr fontId="1" type="noConversion"/>
  </si>
  <si>
    <t>3. 期权： 对于股票的看涨期权</t>
    <phoneticPr fontId="1" type="noConversion"/>
  </si>
  <si>
    <t>4. 股票今天的价格是50元</t>
    <phoneticPr fontId="1" type="noConversion"/>
  </si>
  <si>
    <t>5. 股票上涨的话涨10%，下跌的话跌3%</t>
    <phoneticPr fontId="1" type="noConversion"/>
  </si>
  <si>
    <t>6. 一年期的利率是6%</t>
    <phoneticPr fontId="1" type="noConversion"/>
  </si>
  <si>
    <t>7. 期权在一年后到期，行权价格是50元</t>
    <phoneticPr fontId="1" type="noConversion"/>
  </si>
  <si>
    <t>上涨</t>
    <phoneticPr fontId="1" type="noConversion"/>
  </si>
  <si>
    <t>下跌</t>
    <phoneticPr fontId="1" type="noConversion"/>
  </si>
  <si>
    <r>
      <t>股票在T</t>
    </r>
    <r>
      <rPr>
        <b/>
        <vertAlign val="subscript"/>
        <sz val="14"/>
        <color theme="0"/>
        <rFont val="等线"/>
        <family val="3"/>
        <charset val="134"/>
        <scheme val="minor"/>
      </rPr>
      <t>0</t>
    </r>
    <r>
      <rPr>
        <b/>
        <sz val="14"/>
        <color theme="0"/>
        <rFont val="等线"/>
        <family val="3"/>
        <charset val="134"/>
        <scheme val="minor"/>
      </rPr>
      <t>的价格</t>
    </r>
    <phoneticPr fontId="1" type="noConversion"/>
  </si>
  <si>
    <t>一年期利率</t>
    <phoneticPr fontId="1" type="noConversion"/>
  </si>
  <si>
    <t>&lt;----本息和</t>
    <phoneticPr fontId="1" type="noConversion"/>
  </si>
  <si>
    <t>行权价格</t>
    <phoneticPr fontId="1" type="noConversion"/>
  </si>
  <si>
    <t>股票价格</t>
    <phoneticPr fontId="1" type="noConversion"/>
  </si>
  <si>
    <t>债券价格</t>
    <phoneticPr fontId="1" type="noConversion"/>
  </si>
  <si>
    <r>
      <t>T</t>
    </r>
    <r>
      <rPr>
        <b/>
        <vertAlign val="subscript"/>
        <sz val="11"/>
        <color theme="0"/>
        <rFont val="等线"/>
        <family val="3"/>
        <charset val="134"/>
        <scheme val="minor"/>
      </rPr>
      <t>0</t>
    </r>
    <phoneticPr fontId="1" type="noConversion"/>
  </si>
  <si>
    <r>
      <t>T</t>
    </r>
    <r>
      <rPr>
        <b/>
        <vertAlign val="subscript"/>
        <sz val="11"/>
        <color theme="0"/>
        <rFont val="等线"/>
        <family val="3"/>
        <charset val="134"/>
        <scheme val="minor"/>
      </rPr>
      <t>1</t>
    </r>
    <phoneticPr fontId="1" type="noConversion"/>
  </si>
  <si>
    <t>期权价格</t>
    <phoneticPr fontId="1" type="noConversion"/>
  </si>
  <si>
    <t>？？？</t>
    <phoneticPr fontId="1" type="noConversion"/>
  </si>
  <si>
    <t>为了对期权进行定价，我们：通过通过股票和债券两个资产，沟通一个“资产组合”，让资产组合最后的现金流和期权反馈的现金流完全一致。</t>
    <phoneticPr fontId="1" type="noConversion"/>
  </si>
  <si>
    <t>假设股票的份额是A，债券的份额是B</t>
    <phoneticPr fontId="1" type="noConversion"/>
  </si>
  <si>
    <t>55A + 1.06B = 5</t>
    <phoneticPr fontId="1" type="noConversion"/>
  </si>
  <si>
    <t>48.50A + 1.06B = 0</t>
    <phoneticPr fontId="1" type="noConversion"/>
  </si>
  <si>
    <t>可以得到</t>
    <phoneticPr fontId="1" type="noConversion"/>
  </si>
  <si>
    <t>A：</t>
    <phoneticPr fontId="1" type="noConversion"/>
  </si>
  <si>
    <t>B：</t>
    <phoneticPr fontId="1" type="noConversion"/>
  </si>
  <si>
    <t>由于我们构建的“组合”产生的现金流和需要求解的期权在1年期之后产生的现金流一致，所以根据无套利的定价原则：</t>
    <phoneticPr fontId="1" type="noConversion"/>
  </si>
  <si>
    <t>期权的价格应该等于我们构建的这个组合的价格</t>
    <phoneticPr fontId="1" type="noConversion"/>
  </si>
  <si>
    <t>期权价格应该等于</t>
    <phoneticPr fontId="1" type="noConversion"/>
  </si>
  <si>
    <t>一期二叉树定价模型——看跌期权</t>
    <phoneticPr fontId="1" type="noConversion"/>
  </si>
  <si>
    <t>55A + 1.06B = 0</t>
    <phoneticPr fontId="1" type="noConversion"/>
  </si>
  <si>
    <t>48.50A + 1.06B = 1.5</t>
    <phoneticPr fontId="1" type="noConversion"/>
  </si>
  <si>
    <t>复制法</t>
    <phoneticPr fontId="1" type="noConversion"/>
  </si>
  <si>
    <t>构建一个无风险对冲组合</t>
    <phoneticPr fontId="1" type="noConversion"/>
  </si>
  <si>
    <r>
      <t>T</t>
    </r>
    <r>
      <rPr>
        <b/>
        <vertAlign val="subscript"/>
        <sz val="14"/>
        <color theme="0"/>
        <rFont val="等线"/>
        <family val="3"/>
        <charset val="134"/>
        <scheme val="minor"/>
      </rPr>
      <t>0</t>
    </r>
    <phoneticPr fontId="1" type="noConversion"/>
  </si>
  <si>
    <r>
      <t>T</t>
    </r>
    <r>
      <rPr>
        <b/>
        <vertAlign val="subscript"/>
        <sz val="14"/>
        <color theme="0"/>
        <rFont val="等线"/>
        <family val="3"/>
        <charset val="134"/>
        <scheme val="minor"/>
      </rPr>
      <t>1</t>
    </r>
    <phoneticPr fontId="1" type="noConversion"/>
  </si>
  <si>
    <t>交易策略</t>
    <phoneticPr fontId="1" type="noConversion"/>
  </si>
  <si>
    <r>
      <t>S</t>
    </r>
    <r>
      <rPr>
        <b/>
        <vertAlign val="subscript"/>
        <sz val="14"/>
        <color theme="0"/>
        <rFont val="等线"/>
        <family val="3"/>
        <charset val="134"/>
        <scheme val="minor"/>
      </rPr>
      <t xml:space="preserve">T  </t>
    </r>
    <r>
      <rPr>
        <b/>
        <sz val="14"/>
        <color theme="0"/>
        <rFont val="等线"/>
        <family val="3"/>
        <charset val="134"/>
        <scheme val="minor"/>
      </rPr>
      <t>= 50 * 1.10</t>
    </r>
    <phoneticPr fontId="1" type="noConversion"/>
  </si>
  <si>
    <r>
      <t>S</t>
    </r>
    <r>
      <rPr>
        <b/>
        <vertAlign val="subscript"/>
        <sz val="14"/>
        <color theme="0"/>
        <rFont val="等线"/>
        <family val="3"/>
        <charset val="134"/>
        <scheme val="minor"/>
      </rPr>
      <t xml:space="preserve">T  </t>
    </r>
    <r>
      <rPr>
        <b/>
        <sz val="14"/>
        <color theme="0"/>
        <rFont val="等线"/>
        <family val="3"/>
        <charset val="134"/>
        <scheme val="minor"/>
      </rPr>
      <t>= 50 * 0.97</t>
    </r>
    <phoneticPr fontId="1" type="noConversion"/>
  </si>
  <si>
    <t>卖出一个看涨期权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</si>
  <si>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</si>
  <si>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-C</t>
    </r>
    <r>
      <rPr>
        <vertAlign val="subscript"/>
        <sz val="11"/>
        <color theme="1"/>
        <rFont val="等线"/>
        <family val="3"/>
        <charset val="134"/>
        <scheme val="minor"/>
      </rPr>
      <t>u</t>
    </r>
    <phoneticPr fontId="1" type="noConversion"/>
  </si>
  <si>
    <r>
      <t>-C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</si>
  <si>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r>
      <t>买入h</t>
    </r>
    <r>
      <rPr>
        <b/>
        <vertAlign val="subscript"/>
        <sz val="11"/>
        <color theme="0"/>
        <rFont val="等线"/>
        <family val="3"/>
        <charset val="134"/>
        <scheme val="minor"/>
      </rPr>
      <t>c</t>
    </r>
    <r>
      <rPr>
        <b/>
        <sz val="11"/>
        <color theme="0"/>
        <rFont val="等线"/>
        <family val="3"/>
        <charset val="134"/>
        <scheme val="minor"/>
      </rPr>
      <t>股票</t>
    </r>
    <phoneticPr fontId="1" type="noConversion"/>
  </si>
  <si>
    <r>
      <t>-h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</si>
  <si>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+h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2"/>
        <charset val="134"/>
        <scheme val="minor"/>
      </rPr>
      <t>u</t>
    </r>
    <phoneticPr fontId="1" type="noConversion"/>
  </si>
  <si>
    <r>
      <t>+h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2"/>
        <charset val="134"/>
        <scheme val="minor"/>
      </rPr>
      <t>d</t>
    </r>
    <phoneticPr fontId="1" type="noConversion"/>
  </si>
  <si>
    <t>净现金流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</si>
  <si>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 xml:space="preserve"> - 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</si>
  <si>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3"/>
        <charset val="134"/>
        <scheme val="minor"/>
      </rPr>
      <t xml:space="preserve">u </t>
    </r>
    <r>
      <rPr>
        <sz val="11"/>
        <color theme="1"/>
        <rFont val="等线"/>
        <family val="3"/>
        <charset val="134"/>
        <scheme val="minor"/>
      </rPr>
      <t>- C</t>
    </r>
    <r>
      <rPr>
        <vertAlign val="subscript"/>
        <sz val="11"/>
        <color theme="1"/>
        <rFont val="等线"/>
        <family val="3"/>
        <charset val="134"/>
        <scheme val="minor"/>
      </rPr>
      <t>u</t>
    </r>
    <phoneticPr fontId="1" type="noConversion"/>
  </si>
  <si>
    <r>
      <t>h</t>
    </r>
    <r>
      <rPr>
        <vertAlign val="subscript"/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2"/>
        <charset val="134"/>
        <scheme val="minor"/>
      </rPr>
      <t xml:space="preserve"> * S</t>
    </r>
    <r>
      <rPr>
        <vertAlign val="subscript"/>
        <sz val="11"/>
        <color theme="1"/>
        <rFont val="等线"/>
        <family val="3"/>
        <charset val="134"/>
        <scheme val="minor"/>
      </rPr>
      <t xml:space="preserve">d </t>
    </r>
    <r>
      <rPr>
        <sz val="11"/>
        <color theme="1"/>
        <rFont val="等线"/>
        <family val="3"/>
        <charset val="134"/>
        <scheme val="minor"/>
      </rPr>
      <t>- C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</si>
  <si>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由于我们构建的是一个“无风险的组合”，引申的含义就是无论股票的价格如何波动，到期的现金流不会发生变化</t>
    <phoneticPr fontId="1" type="noConversion"/>
  </si>
  <si>
    <r>
      <t>h</t>
    </r>
    <r>
      <rPr>
        <b/>
        <vertAlign val="subscript"/>
        <sz val="11"/>
        <color theme="1"/>
        <rFont val="等线"/>
        <family val="3"/>
        <charset val="134"/>
        <scheme val="minor"/>
      </rPr>
      <t>c</t>
    </r>
    <r>
      <rPr>
        <b/>
        <sz val="11"/>
        <color theme="1"/>
        <rFont val="等线"/>
        <family val="3"/>
        <charset val="134"/>
        <scheme val="minor"/>
      </rPr>
      <t xml:space="preserve"> * S</t>
    </r>
    <r>
      <rPr>
        <b/>
        <vertAlign val="subscript"/>
        <sz val="11"/>
        <color theme="1"/>
        <rFont val="等线"/>
        <family val="3"/>
        <charset val="134"/>
        <scheme val="minor"/>
      </rPr>
      <t xml:space="preserve">u </t>
    </r>
    <r>
      <rPr>
        <b/>
        <sz val="11"/>
        <color theme="1"/>
        <rFont val="等线"/>
        <family val="3"/>
        <charset val="134"/>
        <scheme val="minor"/>
      </rPr>
      <t>- C</t>
    </r>
    <r>
      <rPr>
        <b/>
        <vertAlign val="subscript"/>
        <sz val="11"/>
        <color theme="1"/>
        <rFont val="等线"/>
        <family val="3"/>
        <charset val="134"/>
        <scheme val="minor"/>
      </rPr>
      <t xml:space="preserve">u </t>
    </r>
    <r>
      <rPr>
        <b/>
        <sz val="11"/>
        <color theme="1"/>
        <rFont val="等线"/>
        <family val="3"/>
        <charset val="134"/>
        <scheme val="minor"/>
      </rPr>
      <t>= h</t>
    </r>
    <r>
      <rPr>
        <b/>
        <vertAlign val="subscript"/>
        <sz val="11"/>
        <color theme="1"/>
        <rFont val="等线"/>
        <family val="3"/>
        <charset val="134"/>
        <scheme val="minor"/>
      </rPr>
      <t>c</t>
    </r>
    <r>
      <rPr>
        <b/>
        <sz val="11"/>
        <color theme="1"/>
        <rFont val="等线"/>
        <family val="3"/>
        <charset val="134"/>
        <scheme val="minor"/>
      </rPr>
      <t xml:space="preserve"> * S</t>
    </r>
    <r>
      <rPr>
        <b/>
        <vertAlign val="subscript"/>
        <sz val="11"/>
        <color theme="1"/>
        <rFont val="等线"/>
        <family val="3"/>
        <charset val="134"/>
        <scheme val="minor"/>
      </rPr>
      <t>d</t>
    </r>
    <r>
      <rPr>
        <b/>
        <sz val="11"/>
        <color theme="1"/>
        <rFont val="等线"/>
        <family val="3"/>
        <charset val="134"/>
        <scheme val="minor"/>
      </rPr>
      <t xml:space="preserve"> - C</t>
    </r>
    <r>
      <rPr>
        <b/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</si>
  <si>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可以推出</t>
    <phoneticPr fontId="1" type="noConversion"/>
  </si>
  <si>
    <t>根据无风险套利的定价原则，投资组合在期初的现金流在期末只能获得无风险收益，否则会有套利机会出现</t>
    <phoneticPr fontId="1" type="noConversion"/>
  </si>
  <si>
    <r>
      <t>S</t>
    </r>
    <r>
      <rPr>
        <b/>
        <vertAlign val="subscript"/>
        <sz val="11"/>
        <color theme="0"/>
        <rFont val="等线"/>
        <family val="3"/>
        <charset val="134"/>
        <scheme val="minor"/>
      </rPr>
      <t>u</t>
    </r>
    <phoneticPr fontId="1" type="noConversion"/>
  </si>
  <si>
    <r>
      <t>S</t>
    </r>
    <r>
      <rPr>
        <b/>
        <vertAlign val="subscript"/>
        <sz val="11"/>
        <color theme="0"/>
        <rFont val="等线"/>
        <family val="3"/>
        <charset val="134"/>
        <scheme val="minor"/>
      </rPr>
      <t>d</t>
    </r>
    <phoneticPr fontId="1" type="noConversion"/>
  </si>
  <si>
    <r>
      <t>C</t>
    </r>
    <r>
      <rPr>
        <b/>
        <vertAlign val="subscript"/>
        <sz val="11"/>
        <color theme="0"/>
        <rFont val="等线"/>
        <family val="3"/>
        <charset val="134"/>
        <scheme val="minor"/>
      </rPr>
      <t>u</t>
    </r>
    <phoneticPr fontId="1" type="noConversion"/>
  </si>
  <si>
    <r>
      <t>C</t>
    </r>
    <r>
      <rPr>
        <b/>
        <vertAlign val="subscript"/>
        <sz val="11"/>
        <color theme="0"/>
        <rFont val="等线"/>
        <family val="3"/>
        <charset val="134"/>
        <scheme val="minor"/>
      </rPr>
      <t>d</t>
    </r>
    <phoneticPr fontId="1" type="noConversion"/>
  </si>
  <si>
    <r>
      <t>h</t>
    </r>
    <r>
      <rPr>
        <b/>
        <vertAlign val="subscript"/>
        <sz val="11"/>
        <color theme="0"/>
        <rFont val="等线"/>
        <family val="3"/>
        <charset val="134"/>
        <scheme val="minor"/>
      </rPr>
      <t>c</t>
    </r>
    <phoneticPr fontId="1" type="noConversion"/>
  </si>
  <si>
    <r>
      <t>C</t>
    </r>
    <r>
      <rPr>
        <b/>
        <vertAlign val="subscript"/>
        <sz val="11"/>
        <color theme="0"/>
        <rFont val="等线"/>
        <family val="3"/>
        <charset val="134"/>
        <scheme val="minor"/>
      </rPr>
      <t>0</t>
    </r>
    <phoneticPr fontId="1" type="noConversion"/>
  </si>
  <si>
    <t>风险中性定价</t>
    <phoneticPr fontId="1" type="noConversion"/>
  </si>
  <si>
    <t>风险中性定价：</t>
    <phoneticPr fontId="1" type="noConversion"/>
  </si>
  <si>
    <t>假设投资者对待风险的态度是中性的，所有证券的期望报酬率应当是无风险利率。</t>
    <phoneticPr fontId="1" type="noConversion"/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</si>
  <si>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u</t>
    </r>
    <phoneticPr fontId="1" type="noConversion"/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</si>
  <si>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</si>
  <si>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</si>
  <si>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上涨的概率</t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</si>
  <si>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</t>
    </r>
    <phoneticPr fontId="1" type="noConversion"/>
  </si>
  <si>
    <t>下跌的概率</t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</si>
  <si>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</si>
  <si>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由于风险中性的要求，所以股票上涨或者下跌的状态乘以对应的概率并求和，所得到的期望收益率，应该对应市场无风险收益率</t>
    <phoneticPr fontId="1" type="noConversion"/>
  </si>
  <si>
    <t>同时因为只有两种情况，所以上涨或下跌的概率求和应该等于1</t>
    <phoneticPr fontId="1" type="noConversion"/>
  </si>
  <si>
    <r>
      <t>通过上面两个式子的联立，可以分别求得P</t>
    </r>
    <r>
      <rPr>
        <vertAlign val="subscript"/>
        <sz val="11"/>
        <color theme="1"/>
        <rFont val="等线"/>
        <family val="3"/>
        <charset val="134"/>
        <scheme val="minor"/>
      </rPr>
      <t>u</t>
    </r>
    <r>
      <rPr>
        <sz val="11"/>
        <color theme="1"/>
        <rFont val="等线"/>
        <family val="2"/>
        <charset val="134"/>
        <scheme val="minor"/>
      </rPr>
      <t>和P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</si>
  <si>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风险中性的期权定价思想是：</t>
    <phoneticPr fontId="1" type="noConversion"/>
  </si>
  <si>
    <t>1. 当确定了市场的无风险利率r</t>
    <phoneticPr fontId="1" type="noConversion"/>
  </si>
  <si>
    <t>2. 且资产上涨和下跌的幅度也能够确定</t>
    <phoneticPr fontId="1" type="noConversion"/>
  </si>
  <si>
    <r>
      <t>那么，上涨的概率P</t>
    </r>
    <r>
      <rPr>
        <vertAlign val="subscript"/>
        <sz val="15"/>
        <color theme="1"/>
        <rFont val="等线"/>
        <family val="3"/>
        <charset val="134"/>
        <scheme val="minor"/>
      </rPr>
      <t>u</t>
    </r>
    <r>
      <rPr>
        <sz val="15"/>
        <color theme="1"/>
        <rFont val="等线"/>
        <family val="3"/>
        <charset val="134"/>
        <scheme val="minor"/>
      </rPr>
      <t>和下跌的概率P</t>
    </r>
    <r>
      <rPr>
        <vertAlign val="subscript"/>
        <sz val="15"/>
        <color theme="1"/>
        <rFont val="等线"/>
        <family val="3"/>
        <charset val="134"/>
        <scheme val="minor"/>
      </rPr>
      <t>d</t>
    </r>
    <r>
      <rPr>
        <sz val="15"/>
        <color theme="1"/>
        <rFont val="等线"/>
        <family val="3"/>
        <charset val="134"/>
        <scheme val="minor"/>
      </rPr>
      <t>就已经可以被确定了</t>
    </r>
    <phoneticPr fontId="1" type="noConversion"/>
  </si>
  <si>
    <r>
      <t>P</t>
    </r>
    <r>
      <rPr>
        <b/>
        <vertAlign val="subscript"/>
        <sz val="14"/>
        <color theme="0"/>
        <rFont val="等线"/>
        <family val="3"/>
        <charset val="134"/>
        <scheme val="minor"/>
      </rPr>
      <t>u</t>
    </r>
    <phoneticPr fontId="1" type="noConversion"/>
  </si>
  <si>
    <r>
      <t>P</t>
    </r>
    <r>
      <rPr>
        <b/>
        <vertAlign val="subscript"/>
        <sz val="14"/>
        <color theme="0"/>
        <rFont val="等线"/>
        <family val="3"/>
        <charset val="134"/>
        <scheme val="minor"/>
      </rPr>
      <t>d</t>
    </r>
    <phoneticPr fontId="1" type="noConversion"/>
  </si>
  <si>
    <t>看涨期权价格</t>
    <phoneticPr fontId="1" type="noConversion"/>
  </si>
  <si>
    <t>看跌期权价格</t>
    <phoneticPr fontId="1" type="noConversion"/>
  </si>
  <si>
    <r>
      <t>P</t>
    </r>
    <r>
      <rPr>
        <b/>
        <vertAlign val="subscript"/>
        <sz val="11"/>
        <color theme="0"/>
        <rFont val="等线"/>
        <family val="3"/>
        <charset val="134"/>
        <scheme val="minor"/>
      </rPr>
      <t>0</t>
    </r>
    <phoneticPr fontId="1" type="noConversion"/>
  </si>
  <si>
    <t>Put-Call Parity</t>
    <phoneticPr fontId="1" type="noConversion"/>
  </si>
  <si>
    <r>
      <t>Call + PV</t>
    </r>
    <r>
      <rPr>
        <b/>
        <vertAlign val="subscript"/>
        <sz val="14"/>
        <color theme="0"/>
        <rFont val="等线"/>
        <family val="3"/>
        <charset val="134"/>
        <scheme val="minor"/>
      </rPr>
      <t>(K)</t>
    </r>
    <phoneticPr fontId="1" type="noConversion"/>
  </si>
  <si>
    <r>
      <t>Put + S</t>
    </r>
    <r>
      <rPr>
        <b/>
        <vertAlign val="subscript"/>
        <sz val="11"/>
        <color theme="0"/>
        <rFont val="等线"/>
        <family val="3"/>
        <charset val="134"/>
        <scheme val="minor"/>
      </rPr>
      <t>0</t>
    </r>
    <phoneticPr fontId="1" type="noConversion"/>
  </si>
  <si>
    <t>State Price（状态价格）</t>
    <phoneticPr fontId="1" type="noConversion"/>
  </si>
  <si>
    <t>为了简化期权价格的计算，我们这里引入了State Price（状态价格）的概念</t>
    <phoneticPr fontId="1" type="noConversion"/>
  </si>
  <si>
    <t>在二叉树的世界里，其实一个资产在未来的价格变化只有两种可能：上涨 或 下跌</t>
    <phoneticPr fontId="1" type="noConversion"/>
  </si>
  <si>
    <r>
      <t>在无风险利率已知，且风险中性的条件约束下，我们可以将上涨的概率P</t>
    </r>
    <r>
      <rPr>
        <vertAlign val="subscript"/>
        <sz val="11"/>
        <color theme="1"/>
        <rFont val="等线"/>
        <family val="3"/>
        <charset val="134"/>
        <scheme val="minor"/>
      </rPr>
      <t>u</t>
    </r>
    <r>
      <rPr>
        <sz val="11"/>
        <color theme="1"/>
        <rFont val="等线"/>
        <family val="2"/>
        <charset val="134"/>
        <scheme val="minor"/>
      </rPr>
      <t>以及下跌的概率P</t>
    </r>
    <r>
      <rPr>
        <vertAlign val="subscript"/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2"/>
        <charset val="134"/>
        <scheme val="minor"/>
      </rPr>
      <t>求出，如下：</t>
    </r>
    <phoneticPr fontId="1" type="noConversion"/>
  </si>
  <si>
    <t>而任意资产的现值，则等于上涨或下跌状态下的现金流乘以各自的概率，并用无风险利率折现求和到目前时间点，如下图：</t>
    <phoneticPr fontId="1" type="noConversion"/>
  </si>
  <si>
    <r>
      <t>为了后续计算的简化，State Price（状态价格）就是上涨或下跌的概率除以（1+r）。假设上涨的状态价格是q</t>
    </r>
    <r>
      <rPr>
        <vertAlign val="subscript"/>
        <sz val="11"/>
        <color theme="1"/>
        <rFont val="等线"/>
        <family val="3"/>
        <charset val="134"/>
        <scheme val="minor"/>
      </rPr>
      <t>u</t>
    </r>
    <r>
      <rPr>
        <sz val="11"/>
        <color theme="1"/>
        <rFont val="等线"/>
        <family val="2"/>
        <charset val="134"/>
        <scheme val="minor"/>
      </rPr>
      <t>，下跌是q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</si>
  <si>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状态价格的概念其实和贴现因子非常类似，都是为了方便计算现值而引申出的概念</t>
    <phoneticPr fontId="1" type="noConversion"/>
  </si>
  <si>
    <r>
      <t>可以理解为</t>
    </r>
    <r>
      <rPr>
        <b/>
        <sz val="11"/>
        <color theme="1"/>
        <rFont val="等线"/>
        <family val="3"/>
        <charset val="134"/>
        <scheme val="minor"/>
      </rPr>
      <t>考虑了上涨、下跌概率的贴现因子</t>
    </r>
    <phoneticPr fontId="1" type="noConversion"/>
  </si>
  <si>
    <t>简单二步二叉树欧式期权定价案例</t>
    <phoneticPr fontId="1" type="noConversion"/>
  </si>
  <si>
    <t>上涨幅度</t>
    <phoneticPr fontId="1" type="noConversion"/>
  </si>
  <si>
    <t>下跌幅度</t>
    <phoneticPr fontId="1" type="noConversion"/>
  </si>
  <si>
    <t>无风险利率</t>
    <phoneticPr fontId="1" type="noConversion"/>
  </si>
  <si>
    <t>参数U</t>
    <phoneticPr fontId="1" type="noConversion"/>
  </si>
  <si>
    <t>参数D</t>
    <phoneticPr fontId="1" type="noConversion"/>
  </si>
  <si>
    <t>参数R</t>
    <phoneticPr fontId="1" type="noConversion"/>
  </si>
  <si>
    <r>
      <t>风险中性下上涨概率P</t>
    </r>
    <r>
      <rPr>
        <b/>
        <vertAlign val="subscript"/>
        <sz val="14"/>
        <color theme="0"/>
        <rFont val="等线"/>
        <family val="3"/>
        <charset val="134"/>
        <scheme val="minor"/>
      </rPr>
      <t>u</t>
    </r>
    <phoneticPr fontId="1" type="noConversion"/>
  </si>
  <si>
    <r>
      <t>风险中性下下跌概率P</t>
    </r>
    <r>
      <rPr>
        <b/>
        <vertAlign val="subscript"/>
        <sz val="14"/>
        <color theme="0"/>
        <rFont val="等线"/>
        <family val="3"/>
        <charset val="134"/>
        <scheme val="minor"/>
      </rPr>
      <t>d</t>
    </r>
    <phoneticPr fontId="1" type="noConversion"/>
  </si>
  <si>
    <r>
      <t>上涨状态价格P</t>
    </r>
    <r>
      <rPr>
        <b/>
        <vertAlign val="subscript"/>
        <sz val="14"/>
        <color theme="0"/>
        <rFont val="等线"/>
        <family val="3"/>
        <charset val="134"/>
        <scheme val="minor"/>
      </rPr>
      <t>u</t>
    </r>
    <phoneticPr fontId="1" type="noConversion"/>
  </si>
  <si>
    <r>
      <t>下跌状态价格P</t>
    </r>
    <r>
      <rPr>
        <b/>
        <vertAlign val="subscript"/>
        <sz val="14"/>
        <color theme="0"/>
        <rFont val="等线"/>
        <family val="3"/>
        <charset val="134"/>
        <scheme val="minor"/>
      </rPr>
      <t>d</t>
    </r>
    <phoneticPr fontId="1" type="noConversion"/>
  </si>
  <si>
    <r>
      <t>目标：求得期权在T</t>
    </r>
    <r>
      <rPr>
        <b/>
        <vertAlign val="subscript"/>
        <sz val="14"/>
        <color theme="1"/>
        <rFont val="等线"/>
        <family val="3"/>
        <charset val="134"/>
        <scheme val="minor"/>
      </rPr>
      <t>0</t>
    </r>
    <r>
      <rPr>
        <b/>
        <sz val="14"/>
        <color theme="1"/>
        <rFont val="等线"/>
        <family val="3"/>
        <charset val="134"/>
        <scheme val="minor"/>
      </rPr>
      <t>时刻的价格</t>
    </r>
    <phoneticPr fontId="1" type="noConversion"/>
  </si>
  <si>
    <t>步骤一：通过股票上涨下跌的推演，计算出期权在末端的现金流状态</t>
    <phoneticPr fontId="1" type="noConversion"/>
  </si>
  <si>
    <r>
      <t>步骤二：通过“状态价格”（state Price)，一步一步将期权的现金流折现至T</t>
    </r>
    <r>
      <rPr>
        <b/>
        <vertAlign val="subscript"/>
        <sz val="14"/>
        <color theme="1"/>
        <rFont val="等线"/>
        <family val="3"/>
        <charset val="134"/>
        <scheme val="minor"/>
      </rPr>
      <t>0</t>
    </r>
    <r>
      <rPr>
        <b/>
        <sz val="14"/>
        <color theme="1"/>
        <rFont val="等线"/>
        <family val="3"/>
        <charset val="134"/>
        <scheme val="minor"/>
      </rPr>
      <t>时刻</t>
    </r>
    <phoneticPr fontId="1" type="noConversion"/>
  </si>
  <si>
    <t>股票</t>
    <phoneticPr fontId="1" type="noConversion"/>
  </si>
  <si>
    <r>
      <t>T</t>
    </r>
    <r>
      <rPr>
        <b/>
        <vertAlign val="subscript"/>
        <sz val="14"/>
        <color theme="0"/>
        <rFont val="等线"/>
        <family val="3"/>
        <charset val="134"/>
        <scheme val="minor"/>
      </rPr>
      <t>2</t>
    </r>
    <phoneticPr fontId="1" type="noConversion"/>
  </si>
  <si>
    <t>期权</t>
    <phoneticPr fontId="1" type="noConversion"/>
  </si>
  <si>
    <t>用数据表一步进行二叉树欧式期权计算</t>
    <phoneticPr fontId="1" type="noConversion"/>
  </si>
  <si>
    <t>期次</t>
    <phoneticPr fontId="1" type="noConversion"/>
  </si>
  <si>
    <t>股票价格发展路径</t>
    <phoneticPr fontId="1" type="noConversion"/>
  </si>
  <si>
    <r>
      <t>T</t>
    </r>
    <r>
      <rPr>
        <b/>
        <vertAlign val="subscript"/>
        <sz val="14"/>
        <color theme="0"/>
        <rFont val="等线"/>
        <family val="3"/>
        <charset val="134"/>
        <scheme val="minor"/>
      </rPr>
      <t>3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</si>
  <si>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uuu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</si>
  <si>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</si>
  <si>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uud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</si>
  <si>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udu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</si>
  <si>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ud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</si>
  <si>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udd</t>
    </r>
    <phoneticPr fontId="1" type="noConversion"/>
  </si>
  <si>
    <t>P0</t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</si>
  <si>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duu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</si>
  <si>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</si>
  <si>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dud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</si>
  <si>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ddu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</si>
  <si>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dd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</si>
  <si>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ddd</t>
    </r>
    <phoneticPr fontId="1" type="noConversion"/>
  </si>
  <si>
    <r>
      <t>在T</t>
    </r>
    <r>
      <rPr>
        <b/>
        <vertAlign val="subscript"/>
        <sz val="11"/>
        <color theme="0"/>
        <rFont val="等线"/>
        <family val="3"/>
        <charset val="134"/>
        <scheme val="minor"/>
      </rPr>
      <t>n</t>
    </r>
    <r>
      <rPr>
        <b/>
        <sz val="11"/>
        <color theme="0"/>
        <rFont val="等线"/>
        <family val="3"/>
        <charset val="134"/>
        <scheme val="minor"/>
      </rPr>
      <t>时刻经历过上涨的次数</t>
    </r>
    <phoneticPr fontId="1" type="noConversion"/>
  </si>
  <si>
    <r>
      <t>在T</t>
    </r>
    <r>
      <rPr>
        <b/>
        <vertAlign val="subscript"/>
        <sz val="11"/>
        <color theme="0"/>
        <rFont val="等线"/>
        <family val="3"/>
        <charset val="134"/>
        <scheme val="minor"/>
      </rPr>
      <t>n</t>
    </r>
    <r>
      <rPr>
        <b/>
        <sz val="11"/>
        <color theme="0"/>
        <rFont val="等线"/>
        <family val="3"/>
        <charset val="134"/>
        <scheme val="minor"/>
      </rPr>
      <t>时刻经历过下跌的次数</t>
    </r>
    <phoneticPr fontId="1" type="noConversion"/>
  </si>
  <si>
    <r>
      <t>在T</t>
    </r>
    <r>
      <rPr>
        <b/>
        <vertAlign val="subscript"/>
        <sz val="11"/>
        <color theme="0"/>
        <rFont val="等线"/>
        <family val="3"/>
        <charset val="134"/>
        <scheme val="minor"/>
      </rPr>
      <t>n</t>
    </r>
    <r>
      <rPr>
        <b/>
        <sz val="11"/>
        <color theme="0"/>
        <rFont val="等线"/>
        <family val="3"/>
        <charset val="134"/>
        <scheme val="minor"/>
      </rPr>
      <t>时刻的股票价格</t>
    </r>
    <phoneticPr fontId="1" type="noConversion"/>
  </si>
  <si>
    <t>在Tn期权现金流</t>
    <phoneticPr fontId="1" type="noConversion"/>
  </si>
  <si>
    <t>n期State Price</t>
    <phoneticPr fontId="1" type="noConversion"/>
  </si>
  <si>
    <t>该价格路径出现次数</t>
    <phoneticPr fontId="1" type="noConversion"/>
  </si>
  <si>
    <r>
      <t>T</t>
    </r>
    <r>
      <rPr>
        <b/>
        <vertAlign val="subscript"/>
        <sz val="14"/>
        <color theme="0"/>
        <rFont val="等线"/>
        <family val="3"/>
        <charset val="134"/>
        <scheme val="minor"/>
      </rPr>
      <t>0</t>
    </r>
    <r>
      <rPr>
        <b/>
        <sz val="14"/>
        <color theme="0"/>
        <rFont val="等线"/>
        <family val="3"/>
        <charset val="134"/>
        <scheme val="minor"/>
      </rPr>
      <t>时刻现值</t>
    </r>
    <phoneticPr fontId="1" type="noConversion"/>
  </si>
  <si>
    <t>用数据表计算</t>
    <phoneticPr fontId="1" type="noConversion"/>
  </si>
  <si>
    <t>用VBA计算</t>
    <phoneticPr fontId="1" type="noConversion"/>
  </si>
  <si>
    <t>用Excel VBA计算欧式期权</t>
    <phoneticPr fontId="1" type="noConversion"/>
  </si>
  <si>
    <r>
      <t>上涨状态价格S</t>
    </r>
    <r>
      <rPr>
        <b/>
        <vertAlign val="subscript"/>
        <sz val="14"/>
        <color theme="0"/>
        <rFont val="等线"/>
        <family val="3"/>
        <charset val="134"/>
        <scheme val="minor"/>
      </rPr>
      <t>u</t>
    </r>
    <phoneticPr fontId="1" type="noConversion"/>
  </si>
  <si>
    <r>
      <t>下跌状态价格S</t>
    </r>
    <r>
      <rPr>
        <b/>
        <vertAlign val="subscript"/>
        <sz val="14"/>
        <color theme="0"/>
        <rFont val="等线"/>
        <family val="3"/>
        <charset val="134"/>
        <scheme val="minor"/>
      </rPr>
      <t>d</t>
    </r>
    <phoneticPr fontId="1" type="noConversion"/>
  </si>
  <si>
    <t>美式看跌期权</t>
    <phoneticPr fontId="1" type="noConversion"/>
  </si>
  <si>
    <t>用Excel VBA计算美式期权</t>
    <phoneticPr fontId="1" type="noConversion"/>
  </si>
  <si>
    <t>简单二步二叉树美式期权定价案例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</si>
</sst>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_ "/>
    <numFmt numFmtId="177" formatCode="0.00_ "/>
    <numFmt numFmtId="178" formatCode="0.0000000_ "/>
    <numFmt numFmtId="179" formatCode="0.000000_ "/>
    <numFmt numFmtId="180" formatCode="0_ "/>
  </numFmts>
  <fonts count="2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b/>
      <sz val="11"/>
      <color theme="0"/>
      <name val="等线"/>
      <family val="2"/>
      <scheme val="minor"/>
    </font>
    <font>
      <sz val="11"/>
      <color theme="0"/>
      <name val="等线"/>
      <family val="2"/>
      <charset val="134"/>
      <scheme val="minor"/>
    </font>
    <font>
      <vertAlign val="subscript"/>
      <sz val="11"/>
      <color theme="1"/>
      <name val="等线"/>
      <family val="2"/>
      <charset val="134"/>
      <scheme val="minor"/>
    </font>
    <font>
      <sz val="15"/>
      <color rgb="FF000000"/>
      <name val="Arial"/>
      <family val="2"/>
    </font>
    <font>
      <sz val="15"/>
      <color theme="1"/>
      <name val="等线"/>
      <family val="2"/>
      <charset val="134"/>
      <scheme val="minor"/>
    </font>
    <font>
      <sz val="26"/>
      <color theme="0"/>
      <name val="Arial"/>
      <family val="2"/>
    </font>
    <font>
      <b/>
      <sz val="14"/>
      <color theme="1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vertAlign val="subscript"/>
      <sz val="11"/>
      <color theme="0"/>
      <name val="等线"/>
      <family val="3"/>
      <charset val="134"/>
      <scheme val="minor"/>
    </font>
    <font>
      <b/>
      <vertAlign val="subscript"/>
      <sz val="14"/>
      <color theme="0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26"/>
      <color theme="0"/>
      <name val="DengXian"/>
      <family val="3"/>
      <charset val="134"/>
    </font>
    <font>
      <b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b/>
      <vertAlign val="subscript"/>
      <sz val="11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5"/>
      <color theme="1"/>
      <name val="等线"/>
      <family val="3"/>
      <charset val="134"/>
      <scheme val="minor"/>
    </font>
    <font>
      <vertAlign val="subscript"/>
      <sz val="15"/>
      <color theme="1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6"/>
      <color theme="0"/>
      <name val="DengXian"/>
      <charset val="134"/>
    </font>
    <font>
      <u/>
      <sz val="11"/>
      <color theme="1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 indent="1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9" fillId="0" borderId="0" xfId="0" applyFont="1">
      <alignment vertical="center"/>
    </xf>
    <xf numFmtId="177" fontId="0" fillId="0" borderId="0" xfId="0" applyNumberFormat="1">
      <alignment vertical="center"/>
    </xf>
    <xf numFmtId="0" fontId="10" fillId="2" borderId="0" xfId="0" applyFont="1" applyFill="1">
      <alignment vertical="center"/>
    </xf>
    <xf numFmtId="177" fontId="0" fillId="0" borderId="1" xfId="0" applyNumberFormat="1" applyBorder="1">
      <alignment vertical="center"/>
    </xf>
    <xf numFmtId="0" fontId="10" fillId="2" borderId="0" xfId="0" applyFont="1" applyFill="1" applyAlignment="1">
      <alignment horizontal="center" vertical="center"/>
    </xf>
    <xf numFmtId="177" fontId="0" fillId="3" borderId="0" xfId="0" applyNumberFormat="1" applyFill="1">
      <alignment vertical="center"/>
    </xf>
    <xf numFmtId="0" fontId="0" fillId="0" borderId="0" xfId="0" applyAlignment="1">
      <alignment horizontal="right" vertical="center"/>
    </xf>
    <xf numFmtId="176" fontId="0" fillId="3" borderId="0" xfId="0" applyNumberFormat="1" applyFill="1">
      <alignment vertical="center"/>
    </xf>
    <xf numFmtId="0" fontId="9" fillId="0" borderId="0" xfId="0" applyFont="1" applyAlignment="1">
      <alignment horizontal="right" vertical="center"/>
    </xf>
    <xf numFmtId="0" fontId="14" fillId="2" borderId="0" xfId="0" applyFont="1" applyFill="1">
      <alignment vertical="center"/>
    </xf>
    <xf numFmtId="0" fontId="0" fillId="0" borderId="1" xfId="0" quotePrefix="1" applyBorder="1" applyAlignment="1">
      <alignment horizontal="center" vertical="center"/>
    </xf>
    <xf numFmtId="0" fontId="1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3" borderId="0" xfId="0" applyFill="1">
      <alignment vertical="center"/>
    </xf>
    <xf numFmtId="0" fontId="18" fillId="2" borderId="0" xfId="0" applyFont="1" applyFill="1" applyAlignment="1">
      <alignment horizontal="center" vertical="center"/>
    </xf>
    <xf numFmtId="0" fontId="10" fillId="2" borderId="1" xfId="0" applyFont="1" applyFill="1" applyBorder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177" fontId="0" fillId="3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0" fontId="0" fillId="0" borderId="1" xfId="0" applyNumberFormat="1" applyBorder="1">
      <alignment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3" borderId="1" xfId="0" applyNumberFormat="1" applyFill="1" applyBorder="1" applyAlignment="1">
      <alignment vertical="center" wrapText="1"/>
    </xf>
    <xf numFmtId="177" fontId="15" fillId="3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25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15" fillId="0" borderId="0" xfId="0" applyFont="1">
      <alignment vertical="center"/>
    </xf>
    <xf numFmtId="0" fontId="26" fillId="0" borderId="0" xfId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453810</xdr:colOff>
      <xdr:row>0</xdr:row>
      <xdr:rowOff>155544</xdr:rowOff>
    </xdr:from>
    <xdr:to>
      <xdr:col>5</xdr:col>
      <xdr:colOff>110264</xdr:colOff>
      <xdr:row>8</xdr:row>
      <xdr:rowOff>68825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FDF5858B-014D-EC89-B57B-8F268D971A49}"/>
            </a:ext>
          </a:extLst>
        </xdr:cNvPr>
        <xdr:cNvSpPr txBox="1"/>
      </xdr:nvSpPr>
      <xdr:spPr>
        <a:xfrm>
          <a:off x="2496462" y="155544"/>
          <a:ext cx="1507376" cy="130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zh-CN" alt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期权：</a:t>
          </a:r>
          <a:endParaRPr lang="zh-CN" altLang="en-US" sz="1800" b="1">
            <a:effectLst/>
          </a:endParaRPr>
        </a:p>
        <a:p>
          <a:pPr lvl="0" rtl="0" fontAlgn="base"/>
          <a:r>
            <a:rPr lang="zh-CN" alt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二叉树定价</a:t>
          </a:r>
          <a:r>
            <a:rPr lang="en-US" altLang="zh-CN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(4)</a:t>
          </a:r>
        </a:p>
        <a:p>
          <a:pPr lvl="0" rtl="0" fontAlgn="base"/>
          <a:r>
            <a:rPr lang="zh-CN" alt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美式期权</a:t>
          </a:r>
        </a:p>
        <a:p>
          <a:pPr lvl="0" rtl="0" fontAlgn="base"/>
          <a:r>
            <a:rPr lang="en-US" altLang="zh-CN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Excel </a:t>
          </a:r>
          <a:r>
            <a:rPr lang="zh-CN" alt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建模</a:t>
          </a:r>
        </a:p>
        <a:p>
          <a:pPr lvl="0" rtl="0" fontAlgn="base"/>
          <a:r>
            <a:rPr lang="en-US" altLang="zh-CN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VBA</a:t>
          </a:r>
          <a:r>
            <a:rPr lang="zh-CN" altLang="en-US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代码</a:t>
          </a:r>
          <a:endParaRPr lang="zh-CN" altLang="en-US" sz="1100" b="1" i="1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3</xdr:col>
      <xdr:colOff>95250</xdr:colOff>
      <xdr:row>16</xdr:row>
      <xdr:rowOff>163488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C0ED6ED8-C9FA-4266-87EC-9DF3CD07D77F}"/>
            </a:ext>
          </a:extLst>
        </xdr:cNvPr>
        <xdr:cNvGrpSpPr/>
      </xdr:nvGrpSpPr>
      <xdr:grpSpPr>
        <a:xfrm>
          <a:off x="609600" y="3238500"/>
          <a:ext cx="1314450" cy="338748"/>
          <a:chOff x="2259965" y="5321935"/>
          <a:chExt cx="1409700" cy="344463"/>
        </a:xfrm>
      </xdr:grpSpPr>
      <xdr:cxnSp macro="">
        <xdr:nvCxnSpPr>
          <xdr:cNvPr id="3" name="直接箭头连接符 2">
            <a:extLst>
              <a:ext uri="{FF2B5EF4-FFF2-40B4-BE49-F238E27FC236}">
                <a16:creationId xmlns:a16="http://schemas.microsoft.com/office/drawing/2014/main" id="{43FB180F-DF98-E3D8-B92D-49C425A2C6D9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接箭头连接符 3">
            <a:extLst>
              <a:ext uri="{FF2B5EF4-FFF2-40B4-BE49-F238E27FC236}">
                <a16:creationId xmlns:a16="http://schemas.microsoft.com/office/drawing/2014/main" id="{BAE930EE-137F-9355-E32B-0030E864E603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95250</xdr:colOff>
      <xdr:row>14</xdr:row>
      <xdr:rowOff>0</xdr:rowOff>
    </xdr:from>
    <xdr:to>
      <xdr:col>5</xdr:col>
      <xdr:colOff>190500</xdr:colOff>
      <xdr:row>15</xdr:row>
      <xdr:rowOff>160313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F0642FB8-C1BA-7E94-CC69-6AB22AA9BAEA}"/>
            </a:ext>
          </a:extLst>
        </xdr:cNvPr>
        <xdr:cNvGrpSpPr/>
      </xdr:nvGrpSpPr>
      <xdr:grpSpPr>
        <a:xfrm>
          <a:off x="1924050" y="3063240"/>
          <a:ext cx="1314450" cy="335573"/>
          <a:chOff x="2259965" y="5321935"/>
          <a:chExt cx="1409700" cy="344463"/>
        </a:xfrm>
      </xdr:grpSpPr>
      <xdr:cxnSp macro="">
        <xdr:nvCxnSpPr>
          <xdr:cNvPr id="6" name="直接箭头连接符 5">
            <a:extLst>
              <a:ext uri="{FF2B5EF4-FFF2-40B4-BE49-F238E27FC236}">
                <a16:creationId xmlns:a16="http://schemas.microsoft.com/office/drawing/2014/main" id="{37F9D61E-05A6-5BE0-D325-57726C8DE45B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接箭头连接符 6">
            <a:extLst>
              <a:ext uri="{FF2B5EF4-FFF2-40B4-BE49-F238E27FC236}">
                <a16:creationId xmlns:a16="http://schemas.microsoft.com/office/drawing/2014/main" id="{895DC940-2B58-AED9-A8E3-FD52BAA7F643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190500</xdr:colOff>
      <xdr:row>13</xdr:row>
      <xdr:rowOff>0</xdr:rowOff>
    </xdr:from>
    <xdr:to>
      <xdr:col>7</xdr:col>
      <xdr:colOff>285750</xdr:colOff>
      <xdr:row>14</xdr:row>
      <xdr:rowOff>163488</xdr:rowOff>
    </xdr:to>
    <xdr:grpSp>
      <xdr:nvGrpSpPr>
        <xdr:cNvPr id="8" name="组合 7">
          <a:extLst>
            <a:ext uri="{FF2B5EF4-FFF2-40B4-BE49-F238E27FC236}">
              <a16:creationId xmlns:a16="http://schemas.microsoft.com/office/drawing/2014/main" id="{DCACB94D-F8BE-BBEC-6EE4-435AA8C12CFE}"/>
            </a:ext>
          </a:extLst>
        </xdr:cNvPr>
        <xdr:cNvGrpSpPr/>
      </xdr:nvGrpSpPr>
      <xdr:grpSpPr>
        <a:xfrm>
          <a:off x="3238500" y="2887980"/>
          <a:ext cx="1314450" cy="338748"/>
          <a:chOff x="2259965" y="5321935"/>
          <a:chExt cx="1409700" cy="344463"/>
        </a:xfrm>
      </xdr:grpSpPr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53A949C6-5289-F718-F670-A952113A8A5B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60F2C00E-ACBB-95FA-B452-FCDF9B1B5DAF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95250</xdr:colOff>
      <xdr:row>16</xdr:row>
      <xdr:rowOff>28575</xdr:rowOff>
    </xdr:from>
    <xdr:to>
      <xdr:col>5</xdr:col>
      <xdr:colOff>190500</xdr:colOff>
      <xdr:row>18</xdr:row>
      <xdr:rowOff>7913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83E85108-3A96-AE27-AC95-654CD48C1C03}"/>
            </a:ext>
          </a:extLst>
        </xdr:cNvPr>
        <xdr:cNvGrpSpPr/>
      </xdr:nvGrpSpPr>
      <xdr:grpSpPr>
        <a:xfrm>
          <a:off x="1924050" y="3442335"/>
          <a:ext cx="1314450" cy="329858"/>
          <a:chOff x="2259965" y="5321935"/>
          <a:chExt cx="1409700" cy="344463"/>
        </a:xfrm>
      </xdr:grpSpPr>
      <xdr:cxnSp macro="">
        <xdr:nvCxnSpPr>
          <xdr:cNvPr id="12" name="直接箭头连接符 11">
            <a:extLst>
              <a:ext uri="{FF2B5EF4-FFF2-40B4-BE49-F238E27FC236}">
                <a16:creationId xmlns:a16="http://schemas.microsoft.com/office/drawing/2014/main" id="{DCEDC1C1-2AEA-C9A7-7EDD-FADBC0BC2A12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接箭头连接符 12">
            <a:extLst>
              <a:ext uri="{FF2B5EF4-FFF2-40B4-BE49-F238E27FC236}">
                <a16:creationId xmlns:a16="http://schemas.microsoft.com/office/drawing/2014/main" id="{D12320BB-A78F-F9F0-7B96-0778DBA49722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190500</xdr:colOff>
      <xdr:row>17</xdr:row>
      <xdr:rowOff>50800</xdr:rowOff>
    </xdr:from>
    <xdr:to>
      <xdr:col>7</xdr:col>
      <xdr:colOff>285750</xdr:colOff>
      <xdr:row>19</xdr:row>
      <xdr:rowOff>36488</xdr:rowOff>
    </xdr:to>
    <xdr:grpSp>
      <xdr:nvGrpSpPr>
        <xdr:cNvPr id="14" name="组合 13">
          <a:extLst>
            <a:ext uri="{FF2B5EF4-FFF2-40B4-BE49-F238E27FC236}">
              <a16:creationId xmlns:a16="http://schemas.microsoft.com/office/drawing/2014/main" id="{2275DC10-531B-9060-344E-5CE7B2338253}"/>
            </a:ext>
          </a:extLst>
        </xdr:cNvPr>
        <xdr:cNvGrpSpPr/>
      </xdr:nvGrpSpPr>
      <xdr:grpSpPr>
        <a:xfrm>
          <a:off x="3238500" y="3639820"/>
          <a:ext cx="1314450" cy="336208"/>
          <a:chOff x="2259965" y="5321935"/>
          <a:chExt cx="1409700" cy="344463"/>
        </a:xfrm>
      </xdr:grpSpPr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E3895567-F21C-8179-7800-32306110701A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接箭头连接符 15">
            <a:extLst>
              <a:ext uri="{FF2B5EF4-FFF2-40B4-BE49-F238E27FC236}">
                <a16:creationId xmlns:a16="http://schemas.microsoft.com/office/drawing/2014/main" id="{6AB90E74-122E-3610-0BD1-608263D41B51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200025</xdr:colOff>
      <xdr:row>15</xdr:row>
      <xdr:rowOff>9525</xdr:rowOff>
    </xdr:from>
    <xdr:to>
      <xdr:col>7</xdr:col>
      <xdr:colOff>295275</xdr:colOff>
      <xdr:row>17</xdr:row>
      <xdr:rowOff>1563</xdr:rowOff>
    </xdr:to>
    <xdr:grpSp>
      <xdr:nvGrpSpPr>
        <xdr:cNvPr id="17" name="组合 16">
          <a:extLst>
            <a:ext uri="{FF2B5EF4-FFF2-40B4-BE49-F238E27FC236}">
              <a16:creationId xmlns:a16="http://schemas.microsoft.com/office/drawing/2014/main" id="{93089555-F243-F7E3-5078-CC0BC3B06B16}"/>
            </a:ext>
          </a:extLst>
        </xdr:cNvPr>
        <xdr:cNvGrpSpPr/>
      </xdr:nvGrpSpPr>
      <xdr:grpSpPr>
        <a:xfrm>
          <a:off x="3248025" y="3248025"/>
          <a:ext cx="1314450" cy="342558"/>
          <a:chOff x="2259965" y="5321935"/>
          <a:chExt cx="1409700" cy="344463"/>
        </a:xfrm>
      </xdr:grpSpPr>
      <xdr:cxnSp macro="">
        <xdr:nvCxnSpPr>
          <xdr:cNvPr id="18" name="直接箭头连接符 17">
            <a:extLst>
              <a:ext uri="{FF2B5EF4-FFF2-40B4-BE49-F238E27FC236}">
                <a16:creationId xmlns:a16="http://schemas.microsoft.com/office/drawing/2014/main" id="{42611760-65A6-EDF2-B8D5-89228858BB97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接箭头连接符 18">
            <a:extLst>
              <a:ext uri="{FF2B5EF4-FFF2-40B4-BE49-F238E27FC236}">
                <a16:creationId xmlns:a16="http://schemas.microsoft.com/office/drawing/2014/main" id="{17C01516-4D7E-E808-4125-B8117FD3CF59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</xdr:colOff>
      <xdr:row>24</xdr:row>
      <xdr:rowOff>102235</xdr:rowOff>
    </xdr:from>
    <xdr:to>
      <xdr:col>2</xdr:col>
      <xdr:colOff>1421765</xdr:colOff>
      <xdr:row>26</xdr:row>
      <xdr:rowOff>84748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C40026AE-ABDC-A7A2-F5AD-3F9BD192975C}"/>
            </a:ext>
          </a:extLst>
        </xdr:cNvPr>
        <xdr:cNvGrpSpPr/>
      </xdr:nvGrpSpPr>
      <xdr:grpSpPr>
        <a:xfrm>
          <a:off x="2054225" y="5291455"/>
          <a:ext cx="1409700" cy="333033"/>
          <a:chOff x="2259965" y="5321935"/>
          <a:chExt cx="1409700" cy="344463"/>
        </a:xfrm>
      </xdr:grpSpPr>
      <xdr:cxnSp macro="">
        <xdr:nvCxnSpPr>
          <xdr:cNvPr id="3" name="直接箭头连接符 2">
            <a:extLst>
              <a:ext uri="{FF2B5EF4-FFF2-40B4-BE49-F238E27FC236}">
                <a16:creationId xmlns:a16="http://schemas.microsoft.com/office/drawing/2014/main" id="{217EA77D-C2BD-5894-7618-FB1AC5C224F9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接箭头连接符 3">
            <a:extLst>
              <a:ext uri="{FF2B5EF4-FFF2-40B4-BE49-F238E27FC236}">
                <a16:creationId xmlns:a16="http://schemas.microsoft.com/office/drawing/2014/main" id="{A796B117-316C-77C6-EA6D-AB8611A75A9C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15240</xdr:colOff>
      <xdr:row>24</xdr:row>
      <xdr:rowOff>99060</xdr:rowOff>
    </xdr:from>
    <xdr:to>
      <xdr:col>6</xdr:col>
      <xdr:colOff>1424940</xdr:colOff>
      <xdr:row>25</xdr:row>
      <xdr:rowOff>99060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B4F9E1BA-4250-4A33-98B1-69A1CAD82D57}"/>
            </a:ext>
          </a:extLst>
        </xdr:cNvPr>
        <xdr:cNvCxnSpPr/>
      </xdr:nvCxnSpPr>
      <xdr:spPr>
        <a:xfrm flipV="1">
          <a:off x="2057400" y="5288280"/>
          <a:ext cx="140970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</xdr:colOff>
      <xdr:row>25</xdr:row>
      <xdr:rowOff>98473</xdr:rowOff>
    </xdr:from>
    <xdr:to>
      <xdr:col>6</xdr:col>
      <xdr:colOff>1424354</xdr:colOff>
      <xdr:row>26</xdr:row>
      <xdr:rowOff>87923</xdr:rowOff>
    </xdr:to>
    <xdr:cxnSp macro="">
      <xdr:nvCxnSpPr>
        <xdr:cNvPr id="10" name="直接箭头连接符 9">
          <a:extLst>
            <a:ext uri="{FF2B5EF4-FFF2-40B4-BE49-F238E27FC236}">
              <a16:creationId xmlns:a16="http://schemas.microsoft.com/office/drawing/2014/main" id="{12E223F6-9E6D-4ADE-8AAF-5C0D8C998C64}"/>
            </a:ext>
          </a:extLst>
        </xdr:cNvPr>
        <xdr:cNvCxnSpPr/>
      </xdr:nvCxnSpPr>
      <xdr:spPr>
        <a:xfrm>
          <a:off x="2072640" y="5462953"/>
          <a:ext cx="1393874" cy="164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</xdr:colOff>
      <xdr:row>31</xdr:row>
      <xdr:rowOff>99060</xdr:rowOff>
    </xdr:from>
    <xdr:to>
      <xdr:col>2</xdr:col>
      <xdr:colOff>1424940</xdr:colOff>
      <xdr:row>32</xdr:row>
      <xdr:rowOff>99060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0469253B-4658-41A4-9DBE-A5A57948D7E1}"/>
            </a:ext>
          </a:extLst>
        </xdr:cNvPr>
        <xdr:cNvCxnSpPr/>
      </xdr:nvCxnSpPr>
      <xdr:spPr>
        <a:xfrm flipV="1">
          <a:off x="2057400" y="5288280"/>
          <a:ext cx="140970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32</xdr:row>
      <xdr:rowOff>98473</xdr:rowOff>
    </xdr:from>
    <xdr:to>
      <xdr:col>2</xdr:col>
      <xdr:colOff>1424354</xdr:colOff>
      <xdr:row>33</xdr:row>
      <xdr:rowOff>87923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6BEE4106-8612-4299-A93C-1F7D1B3F8A0B}"/>
            </a:ext>
          </a:extLst>
        </xdr:cNvPr>
        <xdr:cNvCxnSpPr/>
      </xdr:nvCxnSpPr>
      <xdr:spPr>
        <a:xfrm>
          <a:off x="2072640" y="5462953"/>
          <a:ext cx="1393874" cy="164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15</xdr:row>
      <xdr:rowOff>99060</xdr:rowOff>
    </xdr:from>
    <xdr:to>
      <xdr:col>2</xdr:col>
      <xdr:colOff>1424940</xdr:colOff>
      <xdr:row>16</xdr:row>
      <xdr:rowOff>99060</xdr:rowOff>
    </xdr:to>
    <xdr:cxnSp macro="">
      <xdr:nvCxnSpPr>
        <xdr:cNvPr id="2" name="直接箭头连接符 1">
          <a:extLst>
            <a:ext uri="{FF2B5EF4-FFF2-40B4-BE49-F238E27FC236}">
              <a16:creationId xmlns:a16="http://schemas.microsoft.com/office/drawing/2014/main" id="{6080105A-0103-43A0-A581-241233A0E8F5}"/>
            </a:ext>
          </a:extLst>
        </xdr:cNvPr>
        <xdr:cNvCxnSpPr/>
      </xdr:nvCxnSpPr>
      <xdr:spPr>
        <a:xfrm flipV="1">
          <a:off x="2057400" y="5288280"/>
          <a:ext cx="140970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16</xdr:row>
      <xdr:rowOff>98473</xdr:rowOff>
    </xdr:from>
    <xdr:to>
      <xdr:col>2</xdr:col>
      <xdr:colOff>1424354</xdr:colOff>
      <xdr:row>17</xdr:row>
      <xdr:rowOff>87923</xdr:rowOff>
    </xdr:to>
    <xdr:cxnSp macro="">
      <xdr:nvCxnSpPr>
        <xdr:cNvPr id="3" name="直接箭头连接符 2">
          <a:extLst>
            <a:ext uri="{FF2B5EF4-FFF2-40B4-BE49-F238E27FC236}">
              <a16:creationId xmlns:a16="http://schemas.microsoft.com/office/drawing/2014/main" id="{99AEF3DA-1D93-4FD3-992F-E86255D118E1}"/>
            </a:ext>
          </a:extLst>
        </xdr:cNvPr>
        <xdr:cNvCxnSpPr/>
      </xdr:nvCxnSpPr>
      <xdr:spPr>
        <a:xfrm>
          <a:off x="2072640" y="5462953"/>
          <a:ext cx="1393874" cy="164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</xdr:colOff>
      <xdr:row>15</xdr:row>
      <xdr:rowOff>99060</xdr:rowOff>
    </xdr:from>
    <xdr:to>
      <xdr:col>6</xdr:col>
      <xdr:colOff>1424940</xdr:colOff>
      <xdr:row>16</xdr:row>
      <xdr:rowOff>99060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9EEF21C0-7A8D-43A4-8CB3-B84C39D71D82}"/>
            </a:ext>
          </a:extLst>
        </xdr:cNvPr>
        <xdr:cNvCxnSpPr/>
      </xdr:nvCxnSpPr>
      <xdr:spPr>
        <a:xfrm flipV="1">
          <a:off x="7787640" y="5288280"/>
          <a:ext cx="140970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</xdr:colOff>
      <xdr:row>16</xdr:row>
      <xdr:rowOff>98473</xdr:rowOff>
    </xdr:from>
    <xdr:to>
      <xdr:col>6</xdr:col>
      <xdr:colOff>1424354</xdr:colOff>
      <xdr:row>17</xdr:row>
      <xdr:rowOff>87923</xdr:rowOff>
    </xdr:to>
    <xdr:cxnSp macro="">
      <xdr:nvCxnSpPr>
        <xdr:cNvPr id="5" name="直接箭头连接符 4">
          <a:extLst>
            <a:ext uri="{FF2B5EF4-FFF2-40B4-BE49-F238E27FC236}">
              <a16:creationId xmlns:a16="http://schemas.microsoft.com/office/drawing/2014/main" id="{2C101622-7D4E-439D-8A15-195C38266D76}"/>
            </a:ext>
          </a:extLst>
        </xdr:cNvPr>
        <xdr:cNvCxnSpPr/>
      </xdr:nvCxnSpPr>
      <xdr:spPr>
        <a:xfrm>
          <a:off x="7802880" y="5462953"/>
          <a:ext cx="1393874" cy="164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</xdr:colOff>
      <xdr:row>22</xdr:row>
      <xdr:rowOff>99060</xdr:rowOff>
    </xdr:from>
    <xdr:to>
      <xdr:col>2</xdr:col>
      <xdr:colOff>1424940</xdr:colOff>
      <xdr:row>23</xdr:row>
      <xdr:rowOff>99060</xdr:rowOff>
    </xdr:to>
    <xdr:cxnSp macro="">
      <xdr:nvCxnSpPr>
        <xdr:cNvPr id="6" name="直接箭头连接符 5">
          <a:extLst>
            <a:ext uri="{FF2B5EF4-FFF2-40B4-BE49-F238E27FC236}">
              <a16:creationId xmlns:a16="http://schemas.microsoft.com/office/drawing/2014/main" id="{2C50671A-AC09-4CF5-A664-422F51071361}"/>
            </a:ext>
          </a:extLst>
        </xdr:cNvPr>
        <xdr:cNvCxnSpPr/>
      </xdr:nvCxnSpPr>
      <xdr:spPr>
        <a:xfrm flipV="1">
          <a:off x="2057400" y="6606540"/>
          <a:ext cx="140970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23</xdr:row>
      <xdr:rowOff>98473</xdr:rowOff>
    </xdr:from>
    <xdr:to>
      <xdr:col>2</xdr:col>
      <xdr:colOff>1424354</xdr:colOff>
      <xdr:row>24</xdr:row>
      <xdr:rowOff>87923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A0DA41DB-DF20-43FF-9B6B-A84DAFE1F53C}"/>
            </a:ext>
          </a:extLst>
        </xdr:cNvPr>
        <xdr:cNvCxnSpPr/>
      </xdr:nvCxnSpPr>
      <xdr:spPr>
        <a:xfrm>
          <a:off x="2072640" y="6781213"/>
          <a:ext cx="1393874" cy="164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1198880</xdr:colOff>
      <xdr:row>11</xdr:row>
      <xdr:rowOff>135890</xdr:rowOff>
    </xdr:from>
    <xdr:ext cx="65" cy="172227"/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ABCAEFEF-9834-AD5E-4778-C2142A8A9742}"/>
            </a:ext>
          </a:extLst>
        </xdr:cNvPr>
        <xdr:cNvSpPr txBox="1"/>
      </xdr:nvSpPr>
      <xdr:spPr>
        <a:xfrm>
          <a:off x="6639560" y="2635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0</xdr:col>
      <xdr:colOff>505128</xdr:colOff>
      <xdr:row>23</xdr:row>
      <xdr:rowOff>124240</xdr:rowOff>
    </xdr:from>
    <xdr:ext cx="1233799" cy="3892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F09D82AF-62D5-60B5-9FA2-9CCEA825640D}"/>
                </a:ext>
              </a:extLst>
            </xdr:cNvPr>
            <xdr:cNvSpPr txBox="1"/>
          </xdr:nvSpPr>
          <xdr:spPr>
            <a:xfrm>
              <a:off x="505128" y="5184914"/>
              <a:ext cx="1233799" cy="3892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F09D82AF-62D5-60B5-9FA2-9CCEA825640D}"/>
                </a:ext>
              </a:extLst>
            </xdr:cNvPr>
            <xdr:cNvSpPr txBox="1"/>
          </xdr:nvSpPr>
          <xdr:spPr>
            <a:xfrm>
              <a:off x="505128" y="5184914"/>
              <a:ext cx="1233799" cy="3892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ℎ_𝑐=(𝐶_𝑢−𝐶_𝑑)/(𝑆_𝑢−𝑆_𝑑 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42900</xdr:colOff>
      <xdr:row>29</xdr:row>
      <xdr:rowOff>63216</xdr:rowOff>
    </xdr:from>
    <xdr:ext cx="1938672" cy="324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文本框 7">
              <a:extLst>
                <a:ext uri="{FF2B5EF4-FFF2-40B4-BE49-F238E27FC236}">
                  <a16:creationId xmlns:a16="http://schemas.microsoft.com/office/drawing/2014/main" id="{84E87685-6AF0-EA9B-86EB-FB2B50270158}"/>
                </a:ext>
              </a:extLst>
            </xdr:cNvPr>
            <xdr:cNvSpPr txBox="1"/>
          </xdr:nvSpPr>
          <xdr:spPr>
            <a:xfrm>
              <a:off x="697226" y="6275173"/>
              <a:ext cx="1938672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 −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den>
                    </m:f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altLang="zh-CN" sz="1100" b="0"/>
            </a:p>
          </xdr:txBody>
        </xdr:sp>
      </mc:Choice>
      <mc:Fallback xmlns="">
        <xdr:sp macro="" textlink="">
          <xdr:nvSpPr>
            <xdr:cNvPr id="8" name="文本框 7">
              <a:extLst>
                <a:ext uri="{FF2B5EF4-FFF2-40B4-BE49-F238E27FC236}">
                  <a16:creationId xmlns:a16="http://schemas.microsoft.com/office/drawing/2014/main" id="{84E87685-6AF0-EA9B-86EB-FB2B50270158}"/>
                </a:ext>
              </a:extLst>
            </xdr:cNvPr>
            <xdr:cNvSpPr txBox="1"/>
          </xdr:nvSpPr>
          <xdr:spPr>
            <a:xfrm>
              <a:off x="697226" y="6275173"/>
              <a:ext cx="1938672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𝐶_0  −ℎ_𝑐∗𝑆_0+(ℎ_𝑐∗𝑆_𝑑−𝐶_𝑑)/(1+𝑟)=0</a:t>
              </a:r>
              <a:endParaRPr lang="en-US" altLang="zh-CN" sz="1100" b="0"/>
            </a:p>
          </xdr:txBody>
        </xdr:sp>
      </mc:Fallback>
    </mc:AlternateContent>
    <xdr:clientData/>
  </xdr:oneCellAnchor>
  <xdr:oneCellAnchor>
    <xdr:from>
      <xdr:col>5</xdr:col>
      <xdr:colOff>440465</xdr:colOff>
      <xdr:row>19</xdr:row>
      <xdr:rowOff>142867</xdr:rowOff>
    </xdr:from>
    <xdr:ext cx="65" cy="172227"/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F2040EAE-707B-9553-26D1-44E0A6ABEA0E}"/>
            </a:ext>
          </a:extLst>
        </xdr:cNvPr>
        <xdr:cNvSpPr txBox="1"/>
      </xdr:nvSpPr>
      <xdr:spPr>
        <a:xfrm>
          <a:off x="7455835" y="44001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59465</xdr:colOff>
      <xdr:row>32</xdr:row>
      <xdr:rowOff>8413</xdr:rowOff>
    </xdr:from>
    <xdr:ext cx="1646925" cy="324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EA78793B-2F11-7B02-A7A7-65997DC99406}"/>
                </a:ext>
              </a:extLst>
            </xdr:cNvPr>
            <xdr:cNvSpPr txBox="1"/>
          </xdr:nvSpPr>
          <xdr:spPr>
            <a:xfrm>
              <a:off x="713791" y="6767022"/>
              <a:ext cx="1646925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den>
                    </m:f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EA78793B-2F11-7B02-A7A7-65997DC99406}"/>
                </a:ext>
              </a:extLst>
            </xdr:cNvPr>
            <xdr:cNvSpPr txBox="1"/>
          </xdr:nvSpPr>
          <xdr:spPr>
            <a:xfrm>
              <a:off x="713791" y="6767022"/>
              <a:ext cx="1646925" cy="324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𝑐_0=ℎ_𝑐∗𝑆_0−(ℎ_𝑐∗𝑆_𝑑−𝐶_𝑑)/(1+𝑟)</a:t>
              </a:r>
              <a:endParaRPr lang="zh-CN" altLang="en-US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4721</xdr:colOff>
      <xdr:row>7</xdr:row>
      <xdr:rowOff>72884</xdr:rowOff>
    </xdr:from>
    <xdr:to>
      <xdr:col>2</xdr:col>
      <xdr:colOff>1580819</xdr:colOff>
      <xdr:row>11</xdr:row>
      <xdr:rowOff>99389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75514BD1-2752-463D-AC09-1296B086838E}"/>
            </a:ext>
          </a:extLst>
        </xdr:cNvPr>
        <xdr:cNvGrpSpPr/>
      </xdr:nvGrpSpPr>
      <xdr:grpSpPr>
        <a:xfrm>
          <a:off x="2045556" y="1709527"/>
          <a:ext cx="1431318" cy="781879"/>
          <a:chOff x="2259965" y="5082991"/>
          <a:chExt cx="1497416" cy="770369"/>
        </a:xfrm>
      </xdr:grpSpPr>
      <xdr:cxnSp macro="">
        <xdr:nvCxnSpPr>
          <xdr:cNvPr id="3" name="直接箭头连接符 2">
            <a:extLst>
              <a:ext uri="{FF2B5EF4-FFF2-40B4-BE49-F238E27FC236}">
                <a16:creationId xmlns:a16="http://schemas.microsoft.com/office/drawing/2014/main" id="{AFBA6CAE-137A-293E-621A-E070C450AF62}"/>
              </a:ext>
            </a:extLst>
          </xdr:cNvPr>
          <xdr:cNvCxnSpPr/>
        </xdr:nvCxnSpPr>
        <xdr:spPr>
          <a:xfrm flipV="1">
            <a:off x="2259965" y="5082991"/>
            <a:ext cx="1497416" cy="41991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接箭头连接符 3">
            <a:extLst>
              <a:ext uri="{FF2B5EF4-FFF2-40B4-BE49-F238E27FC236}">
                <a16:creationId xmlns:a16="http://schemas.microsoft.com/office/drawing/2014/main" id="{EEAF87BA-2F8F-E6CC-25F9-ECDE0091B86A}"/>
              </a:ext>
            </a:extLst>
          </xdr:cNvPr>
          <xdr:cNvCxnSpPr/>
        </xdr:nvCxnSpPr>
        <xdr:spPr>
          <a:xfrm>
            <a:off x="2275205" y="5502323"/>
            <a:ext cx="1478556" cy="351037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112643</xdr:colOff>
      <xdr:row>20</xdr:row>
      <xdr:rowOff>7620</xdr:rowOff>
    </xdr:from>
    <xdr:ext cx="19421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文本框 7">
              <a:extLst>
                <a:ext uri="{FF2B5EF4-FFF2-40B4-BE49-F238E27FC236}">
                  <a16:creationId xmlns:a16="http://schemas.microsoft.com/office/drawing/2014/main" id="{26392E2C-5969-0C48-6CE7-1FDE72F1FD8D}"/>
                </a:ext>
              </a:extLst>
            </xdr:cNvPr>
            <xdr:cNvSpPr txBox="1"/>
          </xdr:nvSpPr>
          <xdr:spPr>
            <a:xfrm>
              <a:off x="801756" y="4387463"/>
              <a:ext cx="19421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 ∗</m:t>
                    </m:r>
                    <m:d>
                      <m:d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en-US" altLang="zh-CN" sz="1100" b="0"/>
            </a:p>
          </xdr:txBody>
        </xdr:sp>
      </mc:Choice>
      <mc:Fallback xmlns="">
        <xdr:sp macro="" textlink="">
          <xdr:nvSpPr>
            <xdr:cNvPr id="8" name="文本框 7">
              <a:extLst>
                <a:ext uri="{FF2B5EF4-FFF2-40B4-BE49-F238E27FC236}">
                  <a16:creationId xmlns:a16="http://schemas.microsoft.com/office/drawing/2014/main" id="{26392E2C-5969-0C48-6CE7-1FDE72F1FD8D}"/>
                </a:ext>
              </a:extLst>
            </xdr:cNvPr>
            <xdr:cNvSpPr txBox="1"/>
          </xdr:nvSpPr>
          <xdr:spPr>
            <a:xfrm>
              <a:off x="801756" y="4387463"/>
              <a:ext cx="19421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𝑆_0  ∗(1+𝑟)=𝑃_𝑢∗𝑆_𝑢+𝑃_𝑑∗𝑆_𝑑</a:t>
              </a:r>
              <a:endParaRPr lang="en-US" altLang="zh-CN" sz="1100" b="0"/>
            </a:p>
          </xdr:txBody>
        </xdr:sp>
      </mc:Fallback>
    </mc:AlternateContent>
    <xdr:clientData/>
  </xdr:oneCellAnchor>
  <xdr:oneCellAnchor>
    <xdr:from>
      <xdr:col>1</xdr:col>
      <xdr:colOff>107504</xdr:colOff>
      <xdr:row>24</xdr:row>
      <xdr:rowOff>14543</xdr:rowOff>
    </xdr:from>
    <xdr:ext cx="7434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文本框 8">
              <a:extLst>
                <a:ext uri="{FF2B5EF4-FFF2-40B4-BE49-F238E27FC236}">
                  <a16:creationId xmlns:a16="http://schemas.microsoft.com/office/drawing/2014/main" id="{D174030C-1E27-011B-2625-2348E05B6BD6}"/>
                </a:ext>
              </a:extLst>
            </xdr:cNvPr>
            <xdr:cNvSpPr txBox="1"/>
          </xdr:nvSpPr>
          <xdr:spPr>
            <a:xfrm>
              <a:off x="796617" y="5202769"/>
              <a:ext cx="7434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=1</m:t>
                    </m:r>
                  </m:oMath>
                </m:oMathPara>
              </a14:m>
              <a:endParaRPr lang="en-US" altLang="zh-CN" sz="1100" b="0"/>
            </a:p>
          </xdr:txBody>
        </xdr:sp>
      </mc:Choice>
      <mc:Fallback xmlns="">
        <xdr:sp macro="" textlink="">
          <xdr:nvSpPr>
            <xdr:cNvPr id="9" name="文本框 8">
              <a:extLst>
                <a:ext uri="{FF2B5EF4-FFF2-40B4-BE49-F238E27FC236}">
                  <a16:creationId xmlns:a16="http://schemas.microsoft.com/office/drawing/2014/main" id="{D174030C-1E27-011B-2625-2348E05B6BD6}"/>
                </a:ext>
              </a:extLst>
            </xdr:cNvPr>
            <xdr:cNvSpPr txBox="1"/>
          </xdr:nvSpPr>
          <xdr:spPr>
            <a:xfrm>
              <a:off x="796617" y="5202769"/>
              <a:ext cx="7434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𝑃_𝑢+𝑃_𝑑=1</a:t>
              </a:r>
              <a:endParaRPr lang="en-US" altLang="zh-CN" sz="1100" b="0"/>
            </a:p>
          </xdr:txBody>
        </xdr:sp>
      </mc:Fallback>
    </mc:AlternateContent>
    <xdr:clientData/>
  </xdr:oneCellAnchor>
  <xdr:oneCellAnchor>
    <xdr:from>
      <xdr:col>0</xdr:col>
      <xdr:colOff>636104</xdr:colOff>
      <xdr:row>28</xdr:row>
      <xdr:rowOff>36030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文本框 9">
              <a:extLst>
                <a:ext uri="{FF2B5EF4-FFF2-40B4-BE49-F238E27FC236}">
                  <a16:creationId xmlns:a16="http://schemas.microsoft.com/office/drawing/2014/main" id="{8C2CE532-56BD-2982-8F8F-BED4E028F23A}"/>
                </a:ext>
              </a:extLst>
            </xdr:cNvPr>
            <xdr:cNvSpPr txBox="1"/>
          </xdr:nvSpPr>
          <xdr:spPr>
            <a:xfrm>
              <a:off x="636104" y="599950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10" name="文本框 9">
              <a:extLst>
                <a:ext uri="{FF2B5EF4-FFF2-40B4-BE49-F238E27FC236}">
                  <a16:creationId xmlns:a16="http://schemas.microsoft.com/office/drawing/2014/main" id="{8C2CE532-56BD-2982-8F8F-BED4E028F23A}"/>
                </a:ext>
              </a:extLst>
            </xdr:cNvPr>
            <xdr:cNvSpPr txBox="1"/>
          </xdr:nvSpPr>
          <xdr:spPr>
            <a:xfrm>
              <a:off x="636104" y="599950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1514641</xdr:colOff>
      <xdr:row>28</xdr:row>
      <xdr:rowOff>27582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CE2DB28B-13CF-9DFF-2E0E-5848A535D2B1}"/>
                </a:ext>
              </a:extLst>
            </xdr:cNvPr>
            <xdr:cNvSpPr txBox="1"/>
          </xdr:nvSpPr>
          <xdr:spPr>
            <a:xfrm>
              <a:off x="2203754" y="6024191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CE2DB28B-13CF-9DFF-2E0E-5848A535D2B1}"/>
                </a:ext>
              </a:extLst>
            </xdr:cNvPr>
            <xdr:cNvSpPr txBox="1"/>
          </xdr:nvSpPr>
          <xdr:spPr>
            <a:xfrm>
              <a:off x="2203754" y="6024191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2</xdr:col>
      <xdr:colOff>10160</xdr:colOff>
      <xdr:row>46</xdr:row>
      <xdr:rowOff>104140</xdr:rowOff>
    </xdr:from>
    <xdr:to>
      <xdr:col>2</xdr:col>
      <xdr:colOff>1419860</xdr:colOff>
      <xdr:row>48</xdr:row>
      <xdr:rowOff>82843</xdr:rowOff>
    </xdr:to>
    <xdr:grpSp>
      <xdr:nvGrpSpPr>
        <xdr:cNvPr id="14" name="组合 13">
          <a:extLst>
            <a:ext uri="{FF2B5EF4-FFF2-40B4-BE49-F238E27FC236}">
              <a16:creationId xmlns:a16="http://schemas.microsoft.com/office/drawing/2014/main" id="{1E533465-7CF5-4081-B612-5D1D6FB54EAE}"/>
            </a:ext>
          </a:extLst>
        </xdr:cNvPr>
        <xdr:cNvGrpSpPr/>
      </xdr:nvGrpSpPr>
      <xdr:grpSpPr>
        <a:xfrm>
          <a:off x="2050995" y="9804731"/>
          <a:ext cx="1409700" cy="323260"/>
          <a:chOff x="2259965" y="5321935"/>
          <a:chExt cx="1409700" cy="344463"/>
        </a:xfrm>
      </xdr:grpSpPr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7A5C6DCC-A1EA-E6F2-5BFB-29DD200A80FF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接箭头连接符 15">
            <a:extLst>
              <a:ext uri="{FF2B5EF4-FFF2-40B4-BE49-F238E27FC236}">
                <a16:creationId xmlns:a16="http://schemas.microsoft.com/office/drawing/2014/main" id="{CDEB1754-DBB4-C605-9E3D-B81DCC2B33AB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15240</xdr:colOff>
      <xdr:row>53</xdr:row>
      <xdr:rowOff>99060</xdr:rowOff>
    </xdr:from>
    <xdr:to>
      <xdr:col>2</xdr:col>
      <xdr:colOff>1424940</xdr:colOff>
      <xdr:row>54</xdr:row>
      <xdr:rowOff>99060</xdr:rowOff>
    </xdr:to>
    <xdr:cxnSp macro="">
      <xdr:nvCxnSpPr>
        <xdr:cNvPr id="17" name="直接箭头连接符 16">
          <a:extLst>
            <a:ext uri="{FF2B5EF4-FFF2-40B4-BE49-F238E27FC236}">
              <a16:creationId xmlns:a16="http://schemas.microsoft.com/office/drawing/2014/main" id="{0015F050-C07D-4E56-B11F-FB55B44180F4}"/>
            </a:ext>
          </a:extLst>
        </xdr:cNvPr>
        <xdr:cNvCxnSpPr/>
      </xdr:nvCxnSpPr>
      <xdr:spPr>
        <a:xfrm flipV="1">
          <a:off x="2297430" y="6861810"/>
          <a:ext cx="1409700" cy="1828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54</xdr:row>
      <xdr:rowOff>98473</xdr:rowOff>
    </xdr:from>
    <xdr:to>
      <xdr:col>2</xdr:col>
      <xdr:colOff>1424354</xdr:colOff>
      <xdr:row>55</xdr:row>
      <xdr:rowOff>87923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FF9A6599-149E-445A-BEC1-63FD482716E8}"/>
            </a:ext>
          </a:extLst>
        </xdr:cNvPr>
        <xdr:cNvCxnSpPr/>
      </xdr:nvCxnSpPr>
      <xdr:spPr>
        <a:xfrm>
          <a:off x="2310765" y="7044103"/>
          <a:ext cx="1395779" cy="16661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</xdr:colOff>
      <xdr:row>59</xdr:row>
      <xdr:rowOff>99060</xdr:rowOff>
    </xdr:from>
    <xdr:to>
      <xdr:col>2</xdr:col>
      <xdr:colOff>1424940</xdr:colOff>
      <xdr:row>60</xdr:row>
      <xdr:rowOff>99060</xdr:rowOff>
    </xdr:to>
    <xdr:cxnSp macro="">
      <xdr:nvCxnSpPr>
        <xdr:cNvPr id="19" name="直接箭头连接符 18">
          <a:extLst>
            <a:ext uri="{FF2B5EF4-FFF2-40B4-BE49-F238E27FC236}">
              <a16:creationId xmlns:a16="http://schemas.microsoft.com/office/drawing/2014/main" id="{BB850D7C-D59A-4C0E-AFA6-A6A6101FF372}"/>
            </a:ext>
          </a:extLst>
        </xdr:cNvPr>
        <xdr:cNvCxnSpPr/>
      </xdr:nvCxnSpPr>
      <xdr:spPr>
        <a:xfrm flipV="1">
          <a:off x="2298424" y="11731653"/>
          <a:ext cx="1409700" cy="1855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60</xdr:row>
      <xdr:rowOff>98473</xdr:rowOff>
    </xdr:from>
    <xdr:to>
      <xdr:col>2</xdr:col>
      <xdr:colOff>1424354</xdr:colOff>
      <xdr:row>61</xdr:row>
      <xdr:rowOff>87923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59008AB8-CF25-4F54-AE7F-37764A6C3F94}"/>
            </a:ext>
          </a:extLst>
        </xdr:cNvPr>
        <xdr:cNvCxnSpPr/>
      </xdr:nvCxnSpPr>
      <xdr:spPr>
        <a:xfrm>
          <a:off x="2311759" y="11916596"/>
          <a:ext cx="1395779" cy="1692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2792548A-2C17-461E-9338-C5527FF255D5}"/>
                </a:ext>
              </a:extLst>
            </xdr:cNvPr>
            <xdr:cNvSpPr txBox="1"/>
          </xdr:nvSpPr>
          <xdr:spPr>
            <a:xfrm>
              <a:off x="688428" y="192864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2792548A-2C17-461E-9338-C5527FF255D5}"/>
                </a:ext>
              </a:extLst>
            </xdr:cNvPr>
            <xdr:cNvSpPr txBox="1"/>
          </xdr:nvSpPr>
          <xdr:spPr>
            <a:xfrm>
              <a:off x="688428" y="192864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9</xdr:row>
      <xdr:rowOff>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115666B4-39E3-484F-BCC6-1F30B87EBAD5}"/>
                </a:ext>
              </a:extLst>
            </xdr:cNvPr>
            <xdr:cNvSpPr txBox="1"/>
          </xdr:nvSpPr>
          <xdr:spPr>
            <a:xfrm>
              <a:off x="2280745" y="192864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115666B4-39E3-484F-BCC6-1F30B87EBAD5}"/>
                </a:ext>
              </a:extLst>
            </xdr:cNvPr>
            <xdr:cNvSpPr txBox="1"/>
          </xdr:nvSpPr>
          <xdr:spPr>
            <a:xfrm>
              <a:off x="2280745" y="1928648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2</xdr:col>
      <xdr:colOff>453039</xdr:colOff>
      <xdr:row>14</xdr:row>
      <xdr:rowOff>95535</xdr:rowOff>
    </xdr:from>
    <xdr:to>
      <xdr:col>3</xdr:col>
      <xdr:colOff>270422</xdr:colOff>
      <xdr:row>16</xdr:row>
      <xdr:rowOff>68523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2F031D56-2D33-42CC-B159-308013FE4076}"/>
            </a:ext>
          </a:extLst>
        </xdr:cNvPr>
        <xdr:cNvGrpSpPr/>
      </xdr:nvGrpSpPr>
      <xdr:grpSpPr>
        <a:xfrm>
          <a:off x="2497301" y="2791438"/>
          <a:ext cx="1252045" cy="319830"/>
          <a:chOff x="2259965" y="5321935"/>
          <a:chExt cx="1409700" cy="344463"/>
        </a:xfrm>
      </xdr:grpSpPr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00C48D7A-C1F7-9CC3-0B48-94A8AB896913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接箭头连接符 5">
            <a:extLst>
              <a:ext uri="{FF2B5EF4-FFF2-40B4-BE49-F238E27FC236}">
                <a16:creationId xmlns:a16="http://schemas.microsoft.com/office/drawing/2014/main" id="{691BFE85-0EC9-AC8C-61A6-33FF725115B6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529523</xdr:colOff>
      <xdr:row>8</xdr:row>
      <xdr:rowOff>3613</xdr:rowOff>
    </xdr:from>
    <xdr:ext cx="2497455" cy="172227"/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7D21F3D2-C499-F20B-F594-903783F48F1B}"/>
            </a:ext>
          </a:extLst>
        </xdr:cNvPr>
        <xdr:cNvSpPr txBox="1"/>
      </xdr:nvSpPr>
      <xdr:spPr>
        <a:xfrm>
          <a:off x="4402585" y="1748330"/>
          <a:ext cx="249745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719358</xdr:colOff>
      <xdr:row>10</xdr:row>
      <xdr:rowOff>34689</xdr:rowOff>
    </xdr:from>
    <xdr:ext cx="65" cy="172227"/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5BA2CC93-8428-259D-44B1-10764AD7FC94}"/>
            </a:ext>
          </a:extLst>
        </xdr:cNvPr>
        <xdr:cNvSpPr txBox="1"/>
      </xdr:nvSpPr>
      <xdr:spPr>
        <a:xfrm>
          <a:off x="4592420" y="214726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zh-CN" altLang="zh-CN">
            <a:effectLst/>
          </a:endParaRPr>
        </a:p>
      </xdr:txBody>
    </xdr:sp>
    <xdr:clientData/>
  </xdr:oneCellAnchor>
  <xdr:oneCellAnchor>
    <xdr:from>
      <xdr:col>0</xdr:col>
      <xdr:colOff>678761</xdr:colOff>
      <xdr:row>14</xdr:row>
      <xdr:rowOff>97752</xdr:rowOff>
    </xdr:from>
    <xdr:ext cx="197425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文本框 8">
              <a:extLst>
                <a:ext uri="{FF2B5EF4-FFF2-40B4-BE49-F238E27FC236}">
                  <a16:creationId xmlns:a16="http://schemas.microsoft.com/office/drawing/2014/main" id="{16B16D46-134D-16D7-C225-5F3817025C32}"/>
                </a:ext>
              </a:extLst>
            </xdr:cNvPr>
            <xdr:cNvSpPr txBox="1"/>
          </xdr:nvSpPr>
          <xdr:spPr>
            <a:xfrm>
              <a:off x="678761" y="2946055"/>
              <a:ext cx="197425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  <m:sSub>
                              <m:sSubPr>
                                <m:ctrlP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  <m:t>𝐹</m:t>
                                </m:r>
                              </m:e>
                              <m:sub>
                                <m: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  <m:t>𝑢</m:t>
                                </m:r>
                              </m:sub>
                            </m:sSub>
                          </m:num>
                          <m:den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den>
                        </m:f>
                      </m:e>
                    </m:d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  <m:sSub>
                              <m:sSubPr>
                                <m:ctrlP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  <m:t>𝐹</m:t>
                                </m:r>
                              </m:e>
                              <m:sub>
                                <m:r>
                                  <a:rPr lang="en-US" altLang="zh-CN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sub>
                            </m:sSub>
                          </m:num>
                          <m:den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den>
                        </m:f>
                      </m:e>
                    </m:d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9" name="文本框 8">
              <a:extLst>
                <a:ext uri="{FF2B5EF4-FFF2-40B4-BE49-F238E27FC236}">
                  <a16:creationId xmlns:a16="http://schemas.microsoft.com/office/drawing/2014/main" id="{16B16D46-134D-16D7-C225-5F3817025C32}"/>
                </a:ext>
              </a:extLst>
            </xdr:cNvPr>
            <xdr:cNvSpPr txBox="1"/>
          </xdr:nvSpPr>
          <xdr:spPr>
            <a:xfrm>
              <a:off x="678761" y="2946055"/>
              <a:ext cx="197425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𝑃=((𝐶𝐹_𝑢)/(1+𝑟))∗𝑃_𝑢+((𝐶𝐹_𝑑)/(1+𝑟))∗𝑃_𝑑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340986</xdr:colOff>
      <xdr:row>14</xdr:row>
      <xdr:rowOff>3158</xdr:rowOff>
    </xdr:from>
    <xdr:ext cx="2553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文本框 9">
              <a:extLst>
                <a:ext uri="{FF2B5EF4-FFF2-40B4-BE49-F238E27FC236}">
                  <a16:creationId xmlns:a16="http://schemas.microsoft.com/office/drawing/2014/main" id="{EC17646F-1586-0619-2676-443D2FB91769}"/>
                </a:ext>
              </a:extLst>
            </xdr:cNvPr>
            <xdr:cNvSpPr txBox="1"/>
          </xdr:nvSpPr>
          <xdr:spPr>
            <a:xfrm>
              <a:off x="4214048" y="2851461"/>
              <a:ext cx="2553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𝐶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10" name="文本框 9">
              <a:extLst>
                <a:ext uri="{FF2B5EF4-FFF2-40B4-BE49-F238E27FC236}">
                  <a16:creationId xmlns:a16="http://schemas.microsoft.com/office/drawing/2014/main" id="{EC17646F-1586-0619-2676-443D2FB91769}"/>
                </a:ext>
              </a:extLst>
            </xdr:cNvPr>
            <xdr:cNvSpPr txBox="1"/>
          </xdr:nvSpPr>
          <xdr:spPr>
            <a:xfrm>
              <a:off x="4214048" y="2851461"/>
              <a:ext cx="2553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𝐶𝐹_𝑢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345781</xdr:colOff>
      <xdr:row>15</xdr:row>
      <xdr:rowOff>155558</xdr:rowOff>
    </xdr:from>
    <xdr:ext cx="26789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E56F205E-C4B0-A24A-EC9B-2528B6219B5F}"/>
                </a:ext>
              </a:extLst>
            </xdr:cNvPr>
            <xdr:cNvSpPr txBox="1"/>
          </xdr:nvSpPr>
          <xdr:spPr>
            <a:xfrm>
              <a:off x="4218843" y="3187792"/>
              <a:ext cx="26789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𝐶</m:t>
                    </m:r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E56F205E-C4B0-A24A-EC9B-2528B6219B5F}"/>
                </a:ext>
              </a:extLst>
            </xdr:cNvPr>
            <xdr:cNvSpPr txBox="1"/>
          </xdr:nvSpPr>
          <xdr:spPr>
            <a:xfrm>
              <a:off x="4218843" y="3187792"/>
              <a:ext cx="26789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𝐶𝐹_𝑑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35538</xdr:colOff>
      <xdr:row>20</xdr:row>
      <xdr:rowOff>71929</xdr:rowOff>
    </xdr:from>
    <xdr:ext cx="679673" cy="2927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文本框 11">
              <a:extLst>
                <a:ext uri="{FF2B5EF4-FFF2-40B4-BE49-F238E27FC236}">
                  <a16:creationId xmlns:a16="http://schemas.microsoft.com/office/drawing/2014/main" id="{D784F861-9B78-AB02-5F6E-EC3DED2F80D9}"/>
                </a:ext>
              </a:extLst>
            </xdr:cNvPr>
            <xdr:cNvSpPr txBox="1"/>
          </xdr:nvSpPr>
          <xdr:spPr>
            <a:xfrm>
              <a:off x="723966" y="4060605"/>
              <a:ext cx="679673" cy="2927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sub>
                        </m:sSub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den>
                    </m:f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12" name="文本框 11">
              <a:extLst>
                <a:ext uri="{FF2B5EF4-FFF2-40B4-BE49-F238E27FC236}">
                  <a16:creationId xmlns:a16="http://schemas.microsoft.com/office/drawing/2014/main" id="{D784F861-9B78-AB02-5F6E-EC3DED2F80D9}"/>
                </a:ext>
              </a:extLst>
            </xdr:cNvPr>
            <xdr:cNvSpPr txBox="1"/>
          </xdr:nvSpPr>
          <xdr:spPr>
            <a:xfrm>
              <a:off x="723966" y="4060605"/>
              <a:ext cx="679673" cy="2927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𝑞_𝑢=𝑝_𝑢/(1+𝑟)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40793</xdr:colOff>
      <xdr:row>23</xdr:row>
      <xdr:rowOff>262</xdr:rowOff>
    </xdr:from>
    <xdr:ext cx="680122" cy="2927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1B896E7F-6E5E-7FAA-B8CB-5B859A5560BF}"/>
                </a:ext>
              </a:extLst>
            </xdr:cNvPr>
            <xdr:cNvSpPr txBox="1"/>
          </xdr:nvSpPr>
          <xdr:spPr>
            <a:xfrm>
              <a:off x="729221" y="4540731"/>
              <a:ext cx="680122" cy="2927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den>
                    </m:f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1B896E7F-6E5E-7FAA-B8CB-5B859A5560BF}"/>
                </a:ext>
              </a:extLst>
            </xdr:cNvPr>
            <xdr:cNvSpPr txBox="1"/>
          </xdr:nvSpPr>
          <xdr:spPr>
            <a:xfrm>
              <a:off x="729221" y="4540731"/>
              <a:ext cx="680122" cy="2927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𝑞_𝑑=𝑝_𝑑/(1+𝑟)</a:t>
              </a:r>
              <a:endParaRPr lang="zh-CN" altLang="en-US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</xdr:colOff>
      <xdr:row>10</xdr:row>
      <xdr:rowOff>137160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ECA9EF9A-0C33-47EF-BBA8-E4D021924411}"/>
                </a:ext>
              </a:extLst>
            </xdr:cNvPr>
            <xdr:cNvSpPr txBox="1"/>
          </xdr:nvSpPr>
          <xdr:spPr>
            <a:xfrm>
              <a:off x="3733800" y="233172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ECA9EF9A-0C33-47EF-BBA8-E4D021924411}"/>
                </a:ext>
              </a:extLst>
            </xdr:cNvPr>
            <xdr:cNvSpPr txBox="1"/>
          </xdr:nvSpPr>
          <xdr:spPr>
            <a:xfrm>
              <a:off x="3733800" y="233172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11430</xdr:colOff>
      <xdr:row>12</xdr:row>
      <xdr:rowOff>5715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27AED19E-E073-4A1F-833F-D086E3A6AD4C}"/>
                </a:ext>
              </a:extLst>
            </xdr:cNvPr>
            <xdr:cNvSpPr txBox="1"/>
          </xdr:nvSpPr>
          <xdr:spPr>
            <a:xfrm>
              <a:off x="3729990" y="269557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27AED19E-E073-4A1F-833F-D086E3A6AD4C}"/>
                </a:ext>
              </a:extLst>
            </xdr:cNvPr>
            <xdr:cNvSpPr txBox="1"/>
          </xdr:nvSpPr>
          <xdr:spPr>
            <a:xfrm>
              <a:off x="3729990" y="269557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3</xdr:col>
      <xdr:colOff>1386840</xdr:colOff>
      <xdr:row>23</xdr:row>
      <xdr:rowOff>121920</xdr:rowOff>
    </xdr:from>
    <xdr:to>
      <xdr:col>5</xdr:col>
      <xdr:colOff>11430</xdr:colOff>
      <xdr:row>25</xdr:row>
      <xdr:rowOff>93201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CB7948FD-D1EB-4DF1-B39D-F564BCB41594}"/>
            </a:ext>
          </a:extLst>
        </xdr:cNvPr>
        <xdr:cNvGrpSpPr/>
      </xdr:nvGrpSpPr>
      <xdr:grpSpPr>
        <a:xfrm>
          <a:off x="4825218" y="5432474"/>
          <a:ext cx="1258766" cy="322973"/>
          <a:chOff x="2259965" y="5321935"/>
          <a:chExt cx="1409700" cy="344463"/>
        </a:xfrm>
      </xdr:grpSpPr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4A439C3B-F159-8EF8-DE5A-B6E4A2EA3376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接箭头连接符 5">
            <a:extLst>
              <a:ext uri="{FF2B5EF4-FFF2-40B4-BE49-F238E27FC236}">
                <a16:creationId xmlns:a16="http://schemas.microsoft.com/office/drawing/2014/main" id="{E4994688-B922-A5E5-7E7B-073BAF98CB33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1375410</xdr:colOff>
      <xdr:row>27</xdr:row>
      <xdr:rowOff>87630</xdr:rowOff>
    </xdr:from>
    <xdr:to>
      <xdr:col>4</xdr:col>
      <xdr:colOff>1386840</xdr:colOff>
      <xdr:row>29</xdr:row>
      <xdr:rowOff>68436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334FAD45-4741-A7AA-8EC0-713973D8EEB1}"/>
            </a:ext>
          </a:extLst>
        </xdr:cNvPr>
        <xdr:cNvGrpSpPr/>
      </xdr:nvGrpSpPr>
      <xdr:grpSpPr>
        <a:xfrm>
          <a:off x="4821408" y="6101568"/>
          <a:ext cx="1252318" cy="332499"/>
          <a:chOff x="2259965" y="5321935"/>
          <a:chExt cx="1409700" cy="344463"/>
        </a:xfrm>
      </xdr:grpSpPr>
      <xdr:cxnSp macro="">
        <xdr:nvCxnSpPr>
          <xdr:cNvPr id="8" name="直接箭头连接符 7">
            <a:extLst>
              <a:ext uri="{FF2B5EF4-FFF2-40B4-BE49-F238E27FC236}">
                <a16:creationId xmlns:a16="http://schemas.microsoft.com/office/drawing/2014/main" id="{CE50F0C9-797C-6FF0-A96A-CDD173A9B074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5A5DCA82-29C3-EB9B-4787-73EC09D86F4D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1901190</xdr:colOff>
      <xdr:row>24</xdr:row>
      <xdr:rowOff>76200</xdr:rowOff>
    </xdr:from>
    <xdr:to>
      <xdr:col>3</xdr:col>
      <xdr:colOff>19050</xdr:colOff>
      <xdr:row>28</xdr:row>
      <xdr:rowOff>108585</xdr:rowOff>
    </xdr:to>
    <xdr:grpSp>
      <xdr:nvGrpSpPr>
        <xdr:cNvPr id="17" name="组合 16">
          <a:extLst>
            <a:ext uri="{FF2B5EF4-FFF2-40B4-BE49-F238E27FC236}">
              <a16:creationId xmlns:a16="http://schemas.microsoft.com/office/drawing/2014/main" id="{12CD8ED5-94FB-62F1-FC6D-F85212642F83}"/>
            </a:ext>
          </a:extLst>
        </xdr:cNvPr>
        <xdr:cNvGrpSpPr/>
      </xdr:nvGrpSpPr>
      <xdr:grpSpPr>
        <a:xfrm>
          <a:off x="2320290" y="5562600"/>
          <a:ext cx="1274298" cy="735770"/>
          <a:chOff x="2586990" y="4792980"/>
          <a:chExt cx="1417320" cy="763905"/>
        </a:xfrm>
      </xdr:grpSpPr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4C4B0B86-4940-E0BB-7B27-5E6D1E689E79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接箭头连接符 11">
            <a:extLst>
              <a:ext uri="{FF2B5EF4-FFF2-40B4-BE49-F238E27FC236}">
                <a16:creationId xmlns:a16="http://schemas.microsoft.com/office/drawing/2014/main" id="{D3B8813F-D13A-6941-2D13-3A849A11AEF4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1390650</xdr:colOff>
      <xdr:row>34</xdr:row>
      <xdr:rowOff>120015</xdr:rowOff>
    </xdr:from>
    <xdr:to>
      <xdr:col>5</xdr:col>
      <xdr:colOff>9525</xdr:colOff>
      <xdr:row>36</xdr:row>
      <xdr:rowOff>97011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3D5EA9EF-A75D-4A07-9FD2-EBC7B345873B}"/>
            </a:ext>
          </a:extLst>
        </xdr:cNvPr>
        <xdr:cNvGrpSpPr/>
      </xdr:nvGrpSpPr>
      <xdr:grpSpPr>
        <a:xfrm>
          <a:off x="4821408" y="7487969"/>
          <a:ext cx="1260671" cy="328688"/>
          <a:chOff x="2259965" y="5321935"/>
          <a:chExt cx="1409700" cy="344463"/>
        </a:xfrm>
      </xdr:grpSpPr>
      <xdr:cxnSp macro="">
        <xdr:nvCxnSpPr>
          <xdr:cNvPr id="19" name="直接箭头连接符 18">
            <a:extLst>
              <a:ext uri="{FF2B5EF4-FFF2-40B4-BE49-F238E27FC236}">
                <a16:creationId xmlns:a16="http://schemas.microsoft.com/office/drawing/2014/main" id="{EBEC1233-3301-C18A-4537-1BEF062F89D7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C7C899B9-387F-9FC0-B6A2-16B1239B7A9A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1375410</xdr:colOff>
      <xdr:row>38</xdr:row>
      <xdr:rowOff>85725</xdr:rowOff>
    </xdr:from>
    <xdr:to>
      <xdr:col>4</xdr:col>
      <xdr:colOff>1390650</xdr:colOff>
      <xdr:row>40</xdr:row>
      <xdr:rowOff>70341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BC9AD2F2-F19A-4668-8A80-0AA22F9EDE3D}"/>
            </a:ext>
          </a:extLst>
        </xdr:cNvPr>
        <xdr:cNvGrpSpPr/>
      </xdr:nvGrpSpPr>
      <xdr:grpSpPr>
        <a:xfrm>
          <a:off x="4821408" y="8157063"/>
          <a:ext cx="1248508" cy="336309"/>
          <a:chOff x="2259965" y="5321935"/>
          <a:chExt cx="1409700" cy="344463"/>
        </a:xfrm>
      </xdr:grpSpPr>
      <xdr:cxnSp macro="">
        <xdr:nvCxnSpPr>
          <xdr:cNvPr id="22" name="直接箭头连接符 21">
            <a:extLst>
              <a:ext uri="{FF2B5EF4-FFF2-40B4-BE49-F238E27FC236}">
                <a16:creationId xmlns:a16="http://schemas.microsoft.com/office/drawing/2014/main" id="{EFE160FD-5A87-8638-F7EB-1426AF486A41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FF4C0ACD-4E20-1117-FA84-B9D6517B5C0E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1901190</xdr:colOff>
      <xdr:row>35</xdr:row>
      <xdr:rowOff>76200</xdr:rowOff>
    </xdr:from>
    <xdr:to>
      <xdr:col>3</xdr:col>
      <xdr:colOff>22860</xdr:colOff>
      <xdr:row>39</xdr:row>
      <xdr:rowOff>110490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F0BD5038-5303-4142-B81C-609E183BA9EB}"/>
            </a:ext>
          </a:extLst>
        </xdr:cNvPr>
        <xdr:cNvGrpSpPr/>
      </xdr:nvGrpSpPr>
      <xdr:grpSpPr>
        <a:xfrm>
          <a:off x="2320290" y="7620000"/>
          <a:ext cx="1278108" cy="737675"/>
          <a:chOff x="2586990" y="4792980"/>
          <a:chExt cx="1417320" cy="763905"/>
        </a:xfrm>
      </xdr:grpSpPr>
      <xdr:cxnSp macro="">
        <xdr:nvCxnSpPr>
          <xdr:cNvPr id="25" name="直接箭头连接符 24">
            <a:extLst>
              <a:ext uri="{FF2B5EF4-FFF2-40B4-BE49-F238E27FC236}">
                <a16:creationId xmlns:a16="http://schemas.microsoft.com/office/drawing/2014/main" id="{59D17CE3-FF2D-A278-F8E9-AA809609DCEA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接箭头连接符 25">
            <a:extLst>
              <a:ext uri="{FF2B5EF4-FFF2-40B4-BE49-F238E27FC236}">
                <a16:creationId xmlns:a16="http://schemas.microsoft.com/office/drawing/2014/main" id="{F73D7730-D4AE-FDBC-62BF-CF8ACC85F124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0</xdr:colOff>
      <xdr:row>23</xdr:row>
      <xdr:rowOff>118110</xdr:rowOff>
    </xdr:from>
    <xdr:to>
      <xdr:col>5</xdr:col>
      <xdr:colOff>7620</xdr:colOff>
      <xdr:row>25</xdr:row>
      <xdr:rowOff>100821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98B10F1F-A537-4CAD-B2E6-3E094AF5CB0D}"/>
            </a:ext>
          </a:extLst>
        </xdr:cNvPr>
        <xdr:cNvGrpSpPr/>
      </xdr:nvGrpSpPr>
      <xdr:grpSpPr>
        <a:xfrm>
          <a:off x="4824046" y="5428664"/>
          <a:ext cx="1256128" cy="334403"/>
          <a:chOff x="2259965" y="5321935"/>
          <a:chExt cx="1409700" cy="344463"/>
        </a:xfrm>
      </xdr:grpSpPr>
      <xdr:cxnSp macro="">
        <xdr:nvCxnSpPr>
          <xdr:cNvPr id="13" name="直接箭头连接符 12">
            <a:extLst>
              <a:ext uri="{FF2B5EF4-FFF2-40B4-BE49-F238E27FC236}">
                <a16:creationId xmlns:a16="http://schemas.microsoft.com/office/drawing/2014/main" id="{7BAD1943-0A7C-5F76-6810-79510D189D5A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接箭头连接符 13">
            <a:extLst>
              <a:ext uri="{FF2B5EF4-FFF2-40B4-BE49-F238E27FC236}">
                <a16:creationId xmlns:a16="http://schemas.microsoft.com/office/drawing/2014/main" id="{999BBED6-3484-0E12-E6DB-96C407B0E007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1375410</xdr:colOff>
      <xdr:row>27</xdr:row>
      <xdr:rowOff>83820</xdr:rowOff>
    </xdr:from>
    <xdr:to>
      <xdr:col>5</xdr:col>
      <xdr:colOff>0</xdr:colOff>
      <xdr:row>29</xdr:row>
      <xdr:rowOff>72246</xdr:rowOff>
    </xdr:to>
    <xdr:grpSp>
      <xdr:nvGrpSpPr>
        <xdr:cNvPr id="15" name="组合 14">
          <a:extLst>
            <a:ext uri="{FF2B5EF4-FFF2-40B4-BE49-F238E27FC236}">
              <a16:creationId xmlns:a16="http://schemas.microsoft.com/office/drawing/2014/main" id="{B62D2F36-342D-4FED-A4F6-BD22CAE95380}"/>
            </a:ext>
          </a:extLst>
        </xdr:cNvPr>
        <xdr:cNvGrpSpPr/>
      </xdr:nvGrpSpPr>
      <xdr:grpSpPr>
        <a:xfrm>
          <a:off x="4821408" y="6097758"/>
          <a:ext cx="1251146" cy="340119"/>
          <a:chOff x="2259965" y="5321935"/>
          <a:chExt cx="1409700" cy="344463"/>
        </a:xfrm>
      </xdr:grpSpPr>
      <xdr:cxnSp macro="">
        <xdr:nvCxnSpPr>
          <xdr:cNvPr id="16" name="直接箭头连接符 15">
            <a:extLst>
              <a:ext uri="{FF2B5EF4-FFF2-40B4-BE49-F238E27FC236}">
                <a16:creationId xmlns:a16="http://schemas.microsoft.com/office/drawing/2014/main" id="{DF575E7E-3C3B-5329-CC67-4EBD68819D89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接箭头连接符 26">
            <a:extLst>
              <a:ext uri="{FF2B5EF4-FFF2-40B4-BE49-F238E27FC236}">
                <a16:creationId xmlns:a16="http://schemas.microsoft.com/office/drawing/2014/main" id="{12AA6212-C6F5-408C-BA14-C09979FF7F57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1901190</xdr:colOff>
      <xdr:row>24</xdr:row>
      <xdr:rowOff>76200</xdr:rowOff>
    </xdr:from>
    <xdr:to>
      <xdr:col>3</xdr:col>
      <xdr:colOff>26670</xdr:colOff>
      <xdr:row>28</xdr:row>
      <xdr:rowOff>110490</xdr:rowOff>
    </xdr:to>
    <xdr:grpSp>
      <xdr:nvGrpSpPr>
        <xdr:cNvPr id="28" name="组合 27">
          <a:extLst>
            <a:ext uri="{FF2B5EF4-FFF2-40B4-BE49-F238E27FC236}">
              <a16:creationId xmlns:a16="http://schemas.microsoft.com/office/drawing/2014/main" id="{8AFD58C2-1CDF-4300-BB37-DDF0F782BA7C}"/>
            </a:ext>
          </a:extLst>
        </xdr:cNvPr>
        <xdr:cNvGrpSpPr/>
      </xdr:nvGrpSpPr>
      <xdr:grpSpPr>
        <a:xfrm>
          <a:off x="2320290" y="5562600"/>
          <a:ext cx="1281918" cy="737675"/>
          <a:chOff x="2586990" y="4792980"/>
          <a:chExt cx="1417320" cy="763905"/>
        </a:xfrm>
      </xdr:grpSpPr>
      <xdr:cxnSp macro="">
        <xdr:nvCxnSpPr>
          <xdr:cNvPr id="29" name="直接箭头连接符 28">
            <a:extLst>
              <a:ext uri="{FF2B5EF4-FFF2-40B4-BE49-F238E27FC236}">
                <a16:creationId xmlns:a16="http://schemas.microsoft.com/office/drawing/2014/main" id="{0A29A603-450A-C1D6-2B73-ADF8E4CDE100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接箭头连接符 29">
            <a:extLst>
              <a:ext uri="{FF2B5EF4-FFF2-40B4-BE49-F238E27FC236}">
                <a16:creationId xmlns:a16="http://schemas.microsoft.com/office/drawing/2014/main" id="{A7CB66C1-F870-BFCC-4430-A4B48223DC25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</xdr:colOff>
      <xdr:row>11</xdr:row>
      <xdr:rowOff>137160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12E822B2-DB16-4AFF-9F91-45912DF6D970}"/>
                </a:ext>
              </a:extLst>
            </xdr:cNvPr>
            <xdr:cNvSpPr txBox="1"/>
          </xdr:nvSpPr>
          <xdr:spPr>
            <a:xfrm>
              <a:off x="4004310" y="256413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12E822B2-DB16-4AFF-9F91-45912DF6D970}"/>
                </a:ext>
              </a:extLst>
            </xdr:cNvPr>
            <xdr:cNvSpPr txBox="1"/>
          </xdr:nvSpPr>
          <xdr:spPr>
            <a:xfrm>
              <a:off x="4004310" y="256413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11430</xdr:colOff>
      <xdr:row>13</xdr:row>
      <xdr:rowOff>5715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F3AD71A3-4C65-4917-B302-812E19EAE47E}"/>
                </a:ext>
              </a:extLst>
            </xdr:cNvPr>
            <xdr:cNvSpPr txBox="1"/>
          </xdr:nvSpPr>
          <xdr:spPr>
            <a:xfrm>
              <a:off x="3994785" y="292227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F3AD71A3-4C65-4917-B302-812E19EAE47E}"/>
                </a:ext>
              </a:extLst>
            </xdr:cNvPr>
            <xdr:cNvSpPr txBox="1"/>
          </xdr:nvSpPr>
          <xdr:spPr>
            <a:xfrm>
              <a:off x="3994785" y="292227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4</xdr:col>
      <xdr:colOff>0</xdr:colOff>
      <xdr:row>23</xdr:row>
      <xdr:rowOff>144782</xdr:rowOff>
    </xdr:from>
    <xdr:to>
      <xdr:col>5</xdr:col>
      <xdr:colOff>1850</xdr:colOff>
      <xdr:row>27</xdr:row>
      <xdr:rowOff>118110</xdr:rowOff>
    </xdr:to>
    <xdr:grpSp>
      <xdr:nvGrpSpPr>
        <xdr:cNvPr id="45" name="组合 44">
          <a:extLst>
            <a:ext uri="{FF2B5EF4-FFF2-40B4-BE49-F238E27FC236}">
              <a16:creationId xmlns:a16="http://schemas.microsoft.com/office/drawing/2014/main" id="{5D1B11B7-6F70-44C7-0C34-97F8A981EA44}"/>
            </a:ext>
          </a:extLst>
        </xdr:cNvPr>
        <xdr:cNvGrpSpPr/>
      </xdr:nvGrpSpPr>
      <xdr:grpSpPr>
        <a:xfrm>
          <a:off x="5280991" y="5273373"/>
          <a:ext cx="1525850" cy="794963"/>
          <a:chOff x="5368881" y="5576725"/>
          <a:chExt cx="1406886" cy="858102"/>
        </a:xfrm>
      </xdr:grpSpPr>
      <xdr:cxnSp macro="">
        <xdr:nvCxnSpPr>
          <xdr:cNvPr id="14" name="直接箭头连接符 13">
            <a:extLst>
              <a:ext uri="{FF2B5EF4-FFF2-40B4-BE49-F238E27FC236}">
                <a16:creationId xmlns:a16="http://schemas.microsoft.com/office/drawing/2014/main" id="{BAA1784F-508A-B3D2-4773-7E0AEF36D1AC}"/>
              </a:ext>
            </a:extLst>
          </xdr:cNvPr>
          <xdr:cNvCxnSpPr/>
        </xdr:nvCxnSpPr>
        <xdr:spPr>
          <a:xfrm flipV="1">
            <a:off x="5381297" y="5576725"/>
            <a:ext cx="1394470" cy="41285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26383CFA-B736-C617-FBF6-A95D18E8F9FF}"/>
              </a:ext>
            </a:extLst>
          </xdr:cNvPr>
          <xdr:cNvCxnSpPr/>
        </xdr:nvCxnSpPr>
        <xdr:spPr>
          <a:xfrm>
            <a:off x="5368881" y="5985641"/>
            <a:ext cx="1405036" cy="44918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36194</xdr:colOff>
      <xdr:row>26</xdr:row>
      <xdr:rowOff>142875</xdr:rowOff>
    </xdr:from>
    <xdr:to>
      <xdr:col>6</xdr:col>
      <xdr:colOff>1859280</xdr:colOff>
      <xdr:row>28</xdr:row>
      <xdr:rowOff>116061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49A856F5-5410-263B-F928-D325379A2EC4}"/>
            </a:ext>
          </a:extLst>
        </xdr:cNvPr>
        <xdr:cNvGrpSpPr/>
      </xdr:nvGrpSpPr>
      <xdr:grpSpPr>
        <a:xfrm>
          <a:off x="8053759" y="5887692"/>
          <a:ext cx="1640206" cy="384004"/>
          <a:chOff x="2259965" y="5321935"/>
          <a:chExt cx="1409700" cy="344463"/>
        </a:xfrm>
      </xdr:grpSpPr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92671EBD-EEF8-E24C-57B2-5DA3BA7B7B2F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接箭头连接符 23">
            <a:extLst>
              <a:ext uri="{FF2B5EF4-FFF2-40B4-BE49-F238E27FC236}">
                <a16:creationId xmlns:a16="http://schemas.microsoft.com/office/drawing/2014/main" id="{71226D5F-E302-5DAB-C4EC-47B6BA28C5E6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43814</xdr:colOff>
      <xdr:row>30</xdr:row>
      <xdr:rowOff>108585</xdr:rowOff>
    </xdr:from>
    <xdr:to>
      <xdr:col>7</xdr:col>
      <xdr:colOff>7619</xdr:colOff>
      <xdr:row>32</xdr:row>
      <xdr:rowOff>117966</xdr:rowOff>
    </xdr:to>
    <xdr:grpSp>
      <xdr:nvGrpSpPr>
        <xdr:cNvPr id="25" name="组合 24">
          <a:extLst>
            <a:ext uri="{FF2B5EF4-FFF2-40B4-BE49-F238E27FC236}">
              <a16:creationId xmlns:a16="http://schemas.microsoft.com/office/drawing/2014/main" id="{B351CAB3-7129-C385-63F2-6AF4D8180EA5}"/>
            </a:ext>
          </a:extLst>
        </xdr:cNvPr>
        <xdr:cNvGrpSpPr/>
      </xdr:nvGrpSpPr>
      <xdr:grpSpPr>
        <a:xfrm>
          <a:off x="8061379" y="6641907"/>
          <a:ext cx="1640205" cy="420198"/>
          <a:chOff x="2259965" y="5321935"/>
          <a:chExt cx="1409700" cy="344463"/>
        </a:xfrm>
      </xdr:grpSpPr>
      <xdr:cxnSp macro="">
        <xdr:nvCxnSpPr>
          <xdr:cNvPr id="26" name="直接箭头连接符 25">
            <a:extLst>
              <a:ext uri="{FF2B5EF4-FFF2-40B4-BE49-F238E27FC236}">
                <a16:creationId xmlns:a16="http://schemas.microsoft.com/office/drawing/2014/main" id="{C04CF519-25E3-3FBC-F54F-28E20FFF95BB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接箭头连接符 26">
            <a:extLst>
              <a:ext uri="{FF2B5EF4-FFF2-40B4-BE49-F238E27FC236}">
                <a16:creationId xmlns:a16="http://schemas.microsoft.com/office/drawing/2014/main" id="{FD67F05C-7EF7-F664-1FA8-1BB31CA72632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45719</xdr:colOff>
      <xdr:row>34</xdr:row>
      <xdr:rowOff>131445</xdr:rowOff>
    </xdr:from>
    <xdr:to>
      <xdr:col>7</xdr:col>
      <xdr:colOff>9524</xdr:colOff>
      <xdr:row>36</xdr:row>
      <xdr:rowOff>137016</xdr:rowOff>
    </xdr:to>
    <xdr:grpSp>
      <xdr:nvGrpSpPr>
        <xdr:cNvPr id="28" name="组合 27">
          <a:extLst>
            <a:ext uri="{FF2B5EF4-FFF2-40B4-BE49-F238E27FC236}">
              <a16:creationId xmlns:a16="http://schemas.microsoft.com/office/drawing/2014/main" id="{BE9E7258-74DB-BDCA-1DAE-6B79A92F05E5}"/>
            </a:ext>
          </a:extLst>
        </xdr:cNvPr>
        <xdr:cNvGrpSpPr/>
      </xdr:nvGrpSpPr>
      <xdr:grpSpPr>
        <a:xfrm>
          <a:off x="8063284" y="7486402"/>
          <a:ext cx="1640205" cy="416388"/>
          <a:chOff x="2259965" y="5321935"/>
          <a:chExt cx="1409700" cy="344463"/>
        </a:xfrm>
      </xdr:grpSpPr>
      <xdr:cxnSp macro="">
        <xdr:nvCxnSpPr>
          <xdr:cNvPr id="29" name="直接箭头连接符 28">
            <a:extLst>
              <a:ext uri="{FF2B5EF4-FFF2-40B4-BE49-F238E27FC236}">
                <a16:creationId xmlns:a16="http://schemas.microsoft.com/office/drawing/2014/main" id="{665FCAC7-965A-2399-501B-421FBEDE9B61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接箭头连接符 29">
            <a:extLst>
              <a:ext uri="{FF2B5EF4-FFF2-40B4-BE49-F238E27FC236}">
                <a16:creationId xmlns:a16="http://schemas.microsoft.com/office/drawing/2014/main" id="{2AF808BC-47E3-3268-E0B7-1DA2D5AE107A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7620</xdr:colOff>
      <xdr:row>31</xdr:row>
      <xdr:rowOff>121856</xdr:rowOff>
    </xdr:from>
    <xdr:to>
      <xdr:col>5</xdr:col>
      <xdr:colOff>5200</xdr:colOff>
      <xdr:row>35</xdr:row>
      <xdr:rowOff>135780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BE3712C-2DBB-8083-25C2-D948D026802D}"/>
            </a:ext>
          </a:extLst>
        </xdr:cNvPr>
        <xdr:cNvGrpSpPr/>
      </xdr:nvGrpSpPr>
      <xdr:grpSpPr>
        <a:xfrm>
          <a:off x="5288611" y="6860586"/>
          <a:ext cx="1521580" cy="835559"/>
          <a:chOff x="5368881" y="5576725"/>
          <a:chExt cx="1406886" cy="858102"/>
        </a:xfrm>
      </xdr:grpSpPr>
      <xdr:cxnSp macro="">
        <xdr:nvCxnSpPr>
          <xdr:cNvPr id="47" name="直接箭头连接符 46">
            <a:extLst>
              <a:ext uri="{FF2B5EF4-FFF2-40B4-BE49-F238E27FC236}">
                <a16:creationId xmlns:a16="http://schemas.microsoft.com/office/drawing/2014/main" id="{5CC7D0C8-48A3-93C9-8B31-9429012A75F5}"/>
              </a:ext>
            </a:extLst>
          </xdr:cNvPr>
          <xdr:cNvCxnSpPr/>
        </xdr:nvCxnSpPr>
        <xdr:spPr>
          <a:xfrm flipV="1">
            <a:off x="5381297" y="5576725"/>
            <a:ext cx="1394470" cy="41285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接箭头连接符 47">
            <a:extLst>
              <a:ext uri="{FF2B5EF4-FFF2-40B4-BE49-F238E27FC236}">
                <a16:creationId xmlns:a16="http://schemas.microsoft.com/office/drawing/2014/main" id="{DBC5338A-6868-3665-53F9-4340263CDA34}"/>
              </a:ext>
            </a:extLst>
          </xdr:cNvPr>
          <xdr:cNvCxnSpPr/>
        </xdr:nvCxnSpPr>
        <xdr:spPr>
          <a:xfrm>
            <a:off x="5368881" y="5985641"/>
            <a:ext cx="1405036" cy="44918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3875</xdr:colOff>
      <xdr:row>25</xdr:row>
      <xdr:rowOff>137160</xdr:rowOff>
    </xdr:from>
    <xdr:to>
      <xdr:col>3</xdr:col>
      <xdr:colOff>7620</xdr:colOff>
      <xdr:row>29</xdr:row>
      <xdr:rowOff>109626</xdr:rowOff>
    </xdr:to>
    <xdr:cxnSp macro="">
      <xdr:nvCxnSpPr>
        <xdr:cNvPr id="50" name="直接箭头连接符 49">
          <a:extLst>
            <a:ext uri="{FF2B5EF4-FFF2-40B4-BE49-F238E27FC236}">
              <a16:creationId xmlns:a16="http://schemas.microsoft.com/office/drawing/2014/main" id="{FB15390A-27AC-9620-8F60-57E872189C80}"/>
            </a:ext>
          </a:extLst>
        </xdr:cNvPr>
        <xdr:cNvCxnSpPr/>
      </xdr:nvCxnSpPr>
      <xdr:spPr>
        <a:xfrm flipV="1">
          <a:off x="2594675" y="5974080"/>
          <a:ext cx="2023045" cy="8563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1900270</xdr:colOff>
      <xdr:row>29</xdr:row>
      <xdr:rowOff>109515</xdr:rowOff>
    </xdr:from>
    <xdr:to>
      <xdr:col>3</xdr:col>
      <xdr:colOff>0</xdr:colOff>
      <xdr:row>33</xdr:row>
      <xdr:rowOff>152400</xdr:rowOff>
    </xdr:to>
    <xdr:cxnSp macro="">
      <xdr:nvCxnSpPr>
        <xdr:cNvPr id="51" name="直接箭头连接符 50">
          <a:extLst>
            <a:ext uri="{FF2B5EF4-FFF2-40B4-BE49-F238E27FC236}">
              <a16:creationId xmlns:a16="http://schemas.microsoft.com/office/drawing/2014/main" id="{7E679F11-83F6-B317-412B-54D18FF89E7D}"/>
            </a:ext>
          </a:extLst>
        </xdr:cNvPr>
        <xdr:cNvCxnSpPr/>
      </xdr:nvCxnSpPr>
      <xdr:spPr>
        <a:xfrm>
          <a:off x="2586070" y="6830355"/>
          <a:ext cx="1399190" cy="8887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24764</xdr:colOff>
      <xdr:row>22</xdr:row>
      <xdr:rowOff>144780</xdr:rowOff>
    </xdr:from>
    <xdr:to>
      <xdr:col>7</xdr:col>
      <xdr:colOff>0</xdr:colOff>
      <xdr:row>24</xdr:row>
      <xdr:rowOff>114156</xdr:rowOff>
    </xdr:to>
    <xdr:grpSp>
      <xdr:nvGrpSpPr>
        <xdr:cNvPr id="56" name="组合 55">
          <a:extLst>
            <a:ext uri="{FF2B5EF4-FFF2-40B4-BE49-F238E27FC236}">
              <a16:creationId xmlns:a16="http://schemas.microsoft.com/office/drawing/2014/main" id="{4785C0DD-96D1-7D85-C865-04CD0AF03550}"/>
            </a:ext>
          </a:extLst>
        </xdr:cNvPr>
        <xdr:cNvGrpSpPr/>
      </xdr:nvGrpSpPr>
      <xdr:grpSpPr>
        <a:xfrm>
          <a:off x="8042329" y="5067963"/>
          <a:ext cx="1651636" cy="380193"/>
          <a:chOff x="2259965" y="5321935"/>
          <a:chExt cx="1409700" cy="344463"/>
        </a:xfrm>
      </xdr:grpSpPr>
      <xdr:cxnSp macro="">
        <xdr:nvCxnSpPr>
          <xdr:cNvPr id="57" name="直接箭头连接符 56">
            <a:extLst>
              <a:ext uri="{FF2B5EF4-FFF2-40B4-BE49-F238E27FC236}">
                <a16:creationId xmlns:a16="http://schemas.microsoft.com/office/drawing/2014/main" id="{C37F3271-E74F-3CB2-1832-CC62448628B7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接箭头连接符 57">
            <a:extLst>
              <a:ext uri="{FF2B5EF4-FFF2-40B4-BE49-F238E27FC236}">
                <a16:creationId xmlns:a16="http://schemas.microsoft.com/office/drawing/2014/main" id="{BCCF85DE-C00E-BCCD-B5C2-8C5C7798B537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</xdr:colOff>
      <xdr:row>11</xdr:row>
      <xdr:rowOff>137160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059D11CB-83FE-42A1-B12A-361C498C4219}"/>
                </a:ext>
              </a:extLst>
            </xdr:cNvPr>
            <xdr:cNvSpPr txBox="1"/>
          </xdr:nvSpPr>
          <xdr:spPr>
            <a:xfrm>
              <a:off x="4629150" y="279273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059D11CB-83FE-42A1-B12A-361C498C4219}"/>
                </a:ext>
              </a:extLst>
            </xdr:cNvPr>
            <xdr:cNvSpPr txBox="1"/>
          </xdr:nvSpPr>
          <xdr:spPr>
            <a:xfrm>
              <a:off x="4629150" y="279273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11430</xdr:colOff>
      <xdr:row>13</xdr:row>
      <xdr:rowOff>5715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7835C268-3193-465E-A929-044DB251FFA8}"/>
                </a:ext>
              </a:extLst>
            </xdr:cNvPr>
            <xdr:cNvSpPr txBox="1"/>
          </xdr:nvSpPr>
          <xdr:spPr>
            <a:xfrm>
              <a:off x="4619625" y="315087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7835C268-3193-465E-A929-044DB251FFA8}"/>
                </a:ext>
              </a:extLst>
            </xdr:cNvPr>
            <xdr:cNvSpPr txBox="1"/>
          </xdr:nvSpPr>
          <xdr:spPr>
            <a:xfrm>
              <a:off x="4619625" y="315087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4</xdr:col>
      <xdr:colOff>0</xdr:colOff>
      <xdr:row>23</xdr:row>
      <xdr:rowOff>146687</xdr:rowOff>
    </xdr:from>
    <xdr:to>
      <xdr:col>5</xdr:col>
      <xdr:colOff>1850</xdr:colOff>
      <xdr:row>27</xdr:row>
      <xdr:rowOff>118110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B21F5929-3ED2-4B75-9FC8-11973538747C}"/>
            </a:ext>
          </a:extLst>
        </xdr:cNvPr>
        <xdr:cNvGrpSpPr/>
      </xdr:nvGrpSpPr>
      <xdr:grpSpPr>
        <a:xfrm>
          <a:off x="5524500" y="5313047"/>
          <a:ext cx="1525850" cy="794383"/>
          <a:chOff x="5368881" y="5576725"/>
          <a:chExt cx="1406886" cy="858102"/>
        </a:xfrm>
      </xdr:grpSpPr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2DCD995F-33C8-3A83-C3E5-1249ED6CF270}"/>
              </a:ext>
            </a:extLst>
          </xdr:cNvPr>
          <xdr:cNvCxnSpPr/>
        </xdr:nvCxnSpPr>
        <xdr:spPr>
          <a:xfrm flipV="1">
            <a:off x="5381297" y="5576725"/>
            <a:ext cx="1394470" cy="41285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接箭头连接符 5">
            <a:extLst>
              <a:ext uri="{FF2B5EF4-FFF2-40B4-BE49-F238E27FC236}">
                <a16:creationId xmlns:a16="http://schemas.microsoft.com/office/drawing/2014/main" id="{C5432692-E9A9-7ED8-0271-92058F42832F}"/>
              </a:ext>
            </a:extLst>
          </xdr:cNvPr>
          <xdr:cNvCxnSpPr/>
        </xdr:nvCxnSpPr>
        <xdr:spPr>
          <a:xfrm>
            <a:off x="5368881" y="5985641"/>
            <a:ext cx="1405036" cy="44918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36194</xdr:colOff>
      <xdr:row>26</xdr:row>
      <xdr:rowOff>144780</xdr:rowOff>
    </xdr:from>
    <xdr:to>
      <xdr:col>6</xdr:col>
      <xdr:colOff>1861185</xdr:colOff>
      <xdr:row>28</xdr:row>
      <xdr:rowOff>116061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EBD8A017-E42A-4A8A-BA31-A2C5C1FB6AF4}"/>
            </a:ext>
          </a:extLst>
        </xdr:cNvPr>
        <xdr:cNvGrpSpPr/>
      </xdr:nvGrpSpPr>
      <xdr:grpSpPr>
        <a:xfrm>
          <a:off x="8296274" y="5928360"/>
          <a:ext cx="1642111" cy="382761"/>
          <a:chOff x="2259965" y="5321935"/>
          <a:chExt cx="1409700" cy="344463"/>
        </a:xfrm>
      </xdr:grpSpPr>
      <xdr:cxnSp macro="">
        <xdr:nvCxnSpPr>
          <xdr:cNvPr id="8" name="直接箭头连接符 7">
            <a:extLst>
              <a:ext uri="{FF2B5EF4-FFF2-40B4-BE49-F238E27FC236}">
                <a16:creationId xmlns:a16="http://schemas.microsoft.com/office/drawing/2014/main" id="{69267091-5C62-8ECB-C7C9-01269C7B398F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9E788641-9F4B-11F5-AE74-347483A084C1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41909</xdr:colOff>
      <xdr:row>30</xdr:row>
      <xdr:rowOff>110490</xdr:rowOff>
    </xdr:from>
    <xdr:to>
      <xdr:col>7</xdr:col>
      <xdr:colOff>5714</xdr:colOff>
      <xdr:row>32</xdr:row>
      <xdr:rowOff>117966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DF96531-8A3E-4A2B-B4B2-6C19B27C8A29}"/>
            </a:ext>
          </a:extLst>
        </xdr:cNvPr>
        <xdr:cNvGrpSpPr/>
      </xdr:nvGrpSpPr>
      <xdr:grpSpPr>
        <a:xfrm>
          <a:off x="8301989" y="6686550"/>
          <a:ext cx="1640205" cy="418956"/>
          <a:chOff x="2259965" y="5321935"/>
          <a:chExt cx="1409700" cy="344463"/>
        </a:xfrm>
      </xdr:grpSpPr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4AC2D8D1-00A5-ED0F-6581-667DE7BA7DE8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接箭头连接符 11">
            <a:extLst>
              <a:ext uri="{FF2B5EF4-FFF2-40B4-BE49-F238E27FC236}">
                <a16:creationId xmlns:a16="http://schemas.microsoft.com/office/drawing/2014/main" id="{A0CE0F7F-9042-C1E2-E66D-FE455B6E186C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43814</xdr:colOff>
      <xdr:row>34</xdr:row>
      <xdr:rowOff>135255</xdr:rowOff>
    </xdr:from>
    <xdr:to>
      <xdr:col>7</xdr:col>
      <xdr:colOff>7619</xdr:colOff>
      <xdr:row>36</xdr:row>
      <xdr:rowOff>140826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AF758A83-4A40-4738-99D1-E4BBED6520F0}"/>
            </a:ext>
          </a:extLst>
        </xdr:cNvPr>
        <xdr:cNvGrpSpPr/>
      </xdr:nvGrpSpPr>
      <xdr:grpSpPr>
        <a:xfrm>
          <a:off x="8303894" y="7534275"/>
          <a:ext cx="1640205" cy="417051"/>
          <a:chOff x="2259965" y="5321935"/>
          <a:chExt cx="1409700" cy="344463"/>
        </a:xfrm>
      </xdr:grpSpPr>
      <xdr:cxnSp macro="">
        <xdr:nvCxnSpPr>
          <xdr:cNvPr id="14" name="直接箭头连接符 13">
            <a:extLst>
              <a:ext uri="{FF2B5EF4-FFF2-40B4-BE49-F238E27FC236}">
                <a16:creationId xmlns:a16="http://schemas.microsoft.com/office/drawing/2014/main" id="{A201001E-2E00-4021-A863-48D4BB0B6CA6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77AD98EB-2AA2-EE81-0591-1BA793288C88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5715</xdr:colOff>
      <xdr:row>31</xdr:row>
      <xdr:rowOff>119951</xdr:rowOff>
    </xdr:from>
    <xdr:to>
      <xdr:col>5</xdr:col>
      <xdr:colOff>3295</xdr:colOff>
      <xdr:row>35</xdr:row>
      <xdr:rowOff>139590</xdr:rowOff>
    </xdr:to>
    <xdr:grpSp>
      <xdr:nvGrpSpPr>
        <xdr:cNvPr id="16" name="组合 15">
          <a:extLst>
            <a:ext uri="{FF2B5EF4-FFF2-40B4-BE49-F238E27FC236}">
              <a16:creationId xmlns:a16="http://schemas.microsoft.com/office/drawing/2014/main" id="{9EF21C5F-9246-472D-ACBB-7ECA168B5A3A}"/>
            </a:ext>
          </a:extLst>
        </xdr:cNvPr>
        <xdr:cNvGrpSpPr/>
      </xdr:nvGrpSpPr>
      <xdr:grpSpPr>
        <a:xfrm>
          <a:off x="5530215" y="6901751"/>
          <a:ext cx="1521580" cy="842599"/>
          <a:chOff x="5368881" y="5576725"/>
          <a:chExt cx="1406886" cy="858102"/>
        </a:xfrm>
      </xdr:grpSpPr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630F9473-DEB2-820F-9EC6-42A7043B0741}"/>
              </a:ext>
            </a:extLst>
          </xdr:cNvPr>
          <xdr:cNvCxnSpPr/>
        </xdr:nvCxnSpPr>
        <xdr:spPr>
          <a:xfrm flipV="1">
            <a:off x="5381297" y="5576725"/>
            <a:ext cx="1394470" cy="41285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接箭头连接符 17">
            <a:extLst>
              <a:ext uri="{FF2B5EF4-FFF2-40B4-BE49-F238E27FC236}">
                <a16:creationId xmlns:a16="http://schemas.microsoft.com/office/drawing/2014/main" id="{70243E5A-65AD-9138-B7D5-D755DF47EACC}"/>
              </a:ext>
            </a:extLst>
          </xdr:cNvPr>
          <xdr:cNvCxnSpPr/>
        </xdr:nvCxnSpPr>
        <xdr:spPr>
          <a:xfrm>
            <a:off x="5368881" y="5985641"/>
            <a:ext cx="1405036" cy="44918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3875</xdr:colOff>
      <xdr:row>25</xdr:row>
      <xdr:rowOff>137160</xdr:rowOff>
    </xdr:from>
    <xdr:to>
      <xdr:col>3</xdr:col>
      <xdr:colOff>7620</xdr:colOff>
      <xdr:row>29</xdr:row>
      <xdr:rowOff>109626</xdr:rowOff>
    </xdr:to>
    <xdr:cxnSp macro="">
      <xdr:nvCxnSpPr>
        <xdr:cNvPr id="19" name="直接箭头连接符 18">
          <a:extLst>
            <a:ext uri="{FF2B5EF4-FFF2-40B4-BE49-F238E27FC236}">
              <a16:creationId xmlns:a16="http://schemas.microsoft.com/office/drawing/2014/main" id="{78A7CB61-4CE9-4C3F-A7E2-12CEBC990A0F}"/>
            </a:ext>
          </a:extLst>
        </xdr:cNvPr>
        <xdr:cNvCxnSpPr/>
      </xdr:nvCxnSpPr>
      <xdr:spPr>
        <a:xfrm flipV="1">
          <a:off x="2594675" y="5977890"/>
          <a:ext cx="2021140" cy="8525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1900270</xdr:colOff>
      <xdr:row>29</xdr:row>
      <xdr:rowOff>109515</xdr:rowOff>
    </xdr:from>
    <xdr:to>
      <xdr:col>3</xdr:col>
      <xdr:colOff>0</xdr:colOff>
      <xdr:row>33</xdr:row>
      <xdr:rowOff>152400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9C9D7512-3C74-4208-87EB-541E0EB947F8}"/>
            </a:ext>
          </a:extLst>
        </xdr:cNvPr>
        <xdr:cNvCxnSpPr/>
      </xdr:nvCxnSpPr>
      <xdr:spPr>
        <a:xfrm>
          <a:off x="2586070" y="6832260"/>
          <a:ext cx="2024030" cy="886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26669</xdr:colOff>
      <xdr:row>22</xdr:row>
      <xdr:rowOff>146685</xdr:rowOff>
    </xdr:from>
    <xdr:to>
      <xdr:col>7</xdr:col>
      <xdr:colOff>0</xdr:colOff>
      <xdr:row>24</xdr:row>
      <xdr:rowOff>114156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71E1D9F8-CADE-4294-B435-FFF6F510BFDE}"/>
            </a:ext>
          </a:extLst>
        </xdr:cNvPr>
        <xdr:cNvGrpSpPr/>
      </xdr:nvGrpSpPr>
      <xdr:grpSpPr>
        <a:xfrm>
          <a:off x="8286749" y="5107305"/>
          <a:ext cx="1649731" cy="378951"/>
          <a:chOff x="2259965" y="5321935"/>
          <a:chExt cx="1409700" cy="344463"/>
        </a:xfrm>
      </xdr:grpSpPr>
      <xdr:cxnSp macro="">
        <xdr:nvCxnSpPr>
          <xdr:cNvPr id="22" name="直接箭头连接符 21">
            <a:extLst>
              <a:ext uri="{FF2B5EF4-FFF2-40B4-BE49-F238E27FC236}">
                <a16:creationId xmlns:a16="http://schemas.microsoft.com/office/drawing/2014/main" id="{40C2B148-1961-AE9A-9DB5-360E7B0BC0F9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8FEE44D3-1240-266E-8552-0FB19977ABDE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1245870</xdr:colOff>
      <xdr:row>15</xdr:row>
      <xdr:rowOff>253365</xdr:rowOff>
    </xdr:from>
    <xdr:ext cx="65" cy="172227"/>
    <xdr:sp macro="" textlink="">
      <xdr:nvSpPr>
        <xdr:cNvPr id="24" name="文本框 23">
          <a:extLst>
            <a:ext uri="{FF2B5EF4-FFF2-40B4-BE49-F238E27FC236}">
              <a16:creationId xmlns:a16="http://schemas.microsoft.com/office/drawing/2014/main" id="{6A7324F5-DEC8-05A3-2341-449ED8192CB3}"/>
            </a:ext>
          </a:extLst>
        </xdr:cNvPr>
        <xdr:cNvSpPr txBox="1"/>
      </xdr:nvSpPr>
      <xdr:spPr>
        <a:xfrm>
          <a:off x="5855970" y="3933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 editAs="oneCell">
    <xdr:from>
      <xdr:col>1</xdr:col>
      <xdr:colOff>15240</xdr:colOff>
      <xdr:row>46</xdr:row>
      <xdr:rowOff>107111</xdr:rowOff>
    </xdr:from>
    <xdr:to>
      <xdr:col>7</xdr:col>
      <xdr:colOff>613198</xdr:colOff>
      <xdr:row>70</xdr:row>
      <xdr:rowOff>41910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707C8128-2CD4-A947-A149-6E168CC51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1040" y="10287431"/>
          <a:ext cx="10984018" cy="4323919"/>
        </a:xfrm>
        <a:prstGeom prst="rect">
          <a:avLst/>
        </a:prstGeom>
      </xdr:spPr>
    </xdr:pic>
    <xdr:clientData/>
  </xdr:twoCellAnchor>
  <xdr:twoCellAnchor editAs="oneCell">
    <xdr:from>
      <xdr:col>0</xdr:col>
      <xdr:colOff>662940</xdr:colOff>
      <xdr:row>72</xdr:row>
      <xdr:rowOff>38100</xdr:rowOff>
    </xdr:from>
    <xdr:to>
      <xdr:col>6</xdr:col>
      <xdr:colOff>834928</xdr:colOff>
      <xdr:row>82</xdr:row>
      <xdr:rowOff>3552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591C6B2-D2D2-1426-5BBD-8409720E4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" y="14973300"/>
          <a:ext cx="9369328" cy="178663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</xdr:colOff>
      <xdr:row>10</xdr:row>
      <xdr:rowOff>137160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A06A598F-83BA-4094-9D84-834336599BBA}"/>
                </a:ext>
              </a:extLst>
            </xdr:cNvPr>
            <xdr:cNvSpPr txBox="1"/>
          </xdr:nvSpPr>
          <xdr:spPr>
            <a:xfrm>
              <a:off x="3589020" y="247650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A06A598F-83BA-4094-9D84-834336599BBA}"/>
                </a:ext>
              </a:extLst>
            </xdr:cNvPr>
            <xdr:cNvSpPr txBox="1"/>
          </xdr:nvSpPr>
          <xdr:spPr>
            <a:xfrm>
              <a:off x="3589020" y="247650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11430</xdr:colOff>
      <xdr:row>12</xdr:row>
      <xdr:rowOff>5715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F05C9D2E-5995-423A-9293-D7CD5EEE61A4}"/>
                </a:ext>
              </a:extLst>
            </xdr:cNvPr>
            <xdr:cNvSpPr txBox="1"/>
          </xdr:nvSpPr>
          <xdr:spPr>
            <a:xfrm>
              <a:off x="3585210" y="281749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F05C9D2E-5995-423A-9293-D7CD5EEE61A4}"/>
                </a:ext>
              </a:extLst>
            </xdr:cNvPr>
            <xdr:cNvSpPr txBox="1"/>
          </xdr:nvSpPr>
          <xdr:spPr>
            <a:xfrm>
              <a:off x="3585210" y="281749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twoCellAnchor>
    <xdr:from>
      <xdr:col>4</xdr:col>
      <xdr:colOff>0</xdr:colOff>
      <xdr:row>19</xdr:row>
      <xdr:rowOff>121920</xdr:rowOff>
    </xdr:from>
    <xdr:to>
      <xdr:col>5</xdr:col>
      <xdr:colOff>11430</xdr:colOff>
      <xdr:row>21</xdr:row>
      <xdr:rowOff>93201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436657DB-4A32-44CD-BD92-3CF66339A338}"/>
            </a:ext>
          </a:extLst>
        </xdr:cNvPr>
        <xdr:cNvGrpSpPr/>
      </xdr:nvGrpSpPr>
      <xdr:grpSpPr>
        <a:xfrm>
          <a:off x="5052646" y="4529797"/>
          <a:ext cx="1259938" cy="322973"/>
          <a:chOff x="2259965" y="5321935"/>
          <a:chExt cx="1409700" cy="344463"/>
        </a:xfrm>
      </xdr:grpSpPr>
      <xdr:cxnSp macro="">
        <xdr:nvCxnSpPr>
          <xdr:cNvPr id="5" name="直接箭头连接符 4">
            <a:extLst>
              <a:ext uri="{FF2B5EF4-FFF2-40B4-BE49-F238E27FC236}">
                <a16:creationId xmlns:a16="http://schemas.microsoft.com/office/drawing/2014/main" id="{21F47C6D-76E5-DFC3-F698-75DA005808B2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接箭头连接符 5">
            <a:extLst>
              <a:ext uri="{FF2B5EF4-FFF2-40B4-BE49-F238E27FC236}">
                <a16:creationId xmlns:a16="http://schemas.microsoft.com/office/drawing/2014/main" id="{E1A54ED2-3E4F-81E5-C69B-6DD382B28B68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1245870</xdr:colOff>
      <xdr:row>23</xdr:row>
      <xdr:rowOff>87630</xdr:rowOff>
    </xdr:from>
    <xdr:to>
      <xdr:col>5</xdr:col>
      <xdr:colOff>0</xdr:colOff>
      <xdr:row>25</xdr:row>
      <xdr:rowOff>68436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FF534542-242F-4BA2-AC82-4F14A3185275}"/>
            </a:ext>
          </a:extLst>
        </xdr:cNvPr>
        <xdr:cNvGrpSpPr/>
      </xdr:nvGrpSpPr>
      <xdr:grpSpPr>
        <a:xfrm>
          <a:off x="5050008" y="5198892"/>
          <a:ext cx="1251146" cy="332498"/>
          <a:chOff x="2259965" y="5321935"/>
          <a:chExt cx="1409700" cy="344463"/>
        </a:xfrm>
      </xdr:grpSpPr>
      <xdr:cxnSp macro="">
        <xdr:nvCxnSpPr>
          <xdr:cNvPr id="8" name="直接箭头连接符 7">
            <a:extLst>
              <a:ext uri="{FF2B5EF4-FFF2-40B4-BE49-F238E27FC236}">
                <a16:creationId xmlns:a16="http://schemas.microsoft.com/office/drawing/2014/main" id="{CA8C7192-2202-5E81-BC69-989A7F19BDD3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90DF4DBD-7AF6-5E1F-22A7-9E2A33150DC8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1710690</xdr:colOff>
      <xdr:row>20</xdr:row>
      <xdr:rowOff>76200</xdr:rowOff>
    </xdr:from>
    <xdr:to>
      <xdr:col>3</xdr:col>
      <xdr:colOff>19050</xdr:colOff>
      <xdr:row>24</xdr:row>
      <xdr:rowOff>108585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5C2BA5DF-E5B8-4B86-8ED3-C83C521E1504}"/>
            </a:ext>
          </a:extLst>
        </xdr:cNvPr>
        <xdr:cNvGrpSpPr/>
      </xdr:nvGrpSpPr>
      <xdr:grpSpPr>
        <a:xfrm>
          <a:off x="2320290" y="4659923"/>
          <a:ext cx="1502898" cy="735770"/>
          <a:chOff x="2586990" y="4792980"/>
          <a:chExt cx="1417320" cy="763905"/>
        </a:xfrm>
      </xdr:grpSpPr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796825BA-E9C9-B72B-AAC1-C87531678281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接箭头连接符 11">
            <a:extLst>
              <a:ext uri="{FF2B5EF4-FFF2-40B4-BE49-F238E27FC236}">
                <a16:creationId xmlns:a16="http://schemas.microsoft.com/office/drawing/2014/main" id="{ABA12B26-7451-04F7-52CC-1247F7BBF773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1245870</xdr:colOff>
      <xdr:row>30</xdr:row>
      <xdr:rowOff>120015</xdr:rowOff>
    </xdr:from>
    <xdr:to>
      <xdr:col>5</xdr:col>
      <xdr:colOff>9525</xdr:colOff>
      <xdr:row>32</xdr:row>
      <xdr:rowOff>97011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29A44536-4CCC-4209-A4DE-0214DFE849A5}"/>
            </a:ext>
          </a:extLst>
        </xdr:cNvPr>
        <xdr:cNvGrpSpPr/>
      </xdr:nvGrpSpPr>
      <xdr:grpSpPr>
        <a:xfrm>
          <a:off x="5050008" y="6585292"/>
          <a:ext cx="1260671" cy="328688"/>
          <a:chOff x="2259965" y="5321935"/>
          <a:chExt cx="1409700" cy="344463"/>
        </a:xfrm>
      </xdr:grpSpPr>
      <xdr:cxnSp macro="">
        <xdr:nvCxnSpPr>
          <xdr:cNvPr id="14" name="直接箭头连接符 13">
            <a:extLst>
              <a:ext uri="{FF2B5EF4-FFF2-40B4-BE49-F238E27FC236}">
                <a16:creationId xmlns:a16="http://schemas.microsoft.com/office/drawing/2014/main" id="{587B276B-C26D-0FFB-E572-85A3981E119D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E6581E71-B2CB-0289-934D-A15CFEF491CF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1245870</xdr:colOff>
      <xdr:row>34</xdr:row>
      <xdr:rowOff>85725</xdr:rowOff>
    </xdr:from>
    <xdr:to>
      <xdr:col>4</xdr:col>
      <xdr:colOff>1245870</xdr:colOff>
      <xdr:row>36</xdr:row>
      <xdr:rowOff>70341</xdr:rowOff>
    </xdr:to>
    <xdr:grpSp>
      <xdr:nvGrpSpPr>
        <xdr:cNvPr id="16" name="组合 15">
          <a:extLst>
            <a:ext uri="{FF2B5EF4-FFF2-40B4-BE49-F238E27FC236}">
              <a16:creationId xmlns:a16="http://schemas.microsoft.com/office/drawing/2014/main" id="{F1BE90A6-BA5F-4236-83B1-A87DAC25F6DB}"/>
            </a:ext>
          </a:extLst>
        </xdr:cNvPr>
        <xdr:cNvGrpSpPr/>
      </xdr:nvGrpSpPr>
      <xdr:grpSpPr>
        <a:xfrm>
          <a:off x="5050008" y="7254387"/>
          <a:ext cx="1248508" cy="336308"/>
          <a:chOff x="2259965" y="5321935"/>
          <a:chExt cx="1409700" cy="344463"/>
        </a:xfrm>
      </xdr:grpSpPr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48FAC9B4-4339-E8B4-D1ED-3A81EBF452D4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接箭头连接符 17">
            <a:extLst>
              <a:ext uri="{FF2B5EF4-FFF2-40B4-BE49-F238E27FC236}">
                <a16:creationId xmlns:a16="http://schemas.microsoft.com/office/drawing/2014/main" id="{3EB31111-D670-CA08-5F59-16A5D0E8AE8F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1710690</xdr:colOff>
      <xdr:row>31</xdr:row>
      <xdr:rowOff>76200</xdr:rowOff>
    </xdr:from>
    <xdr:to>
      <xdr:col>3</xdr:col>
      <xdr:colOff>22860</xdr:colOff>
      <xdr:row>35</xdr:row>
      <xdr:rowOff>110490</xdr:rowOff>
    </xdr:to>
    <xdr:grpSp>
      <xdr:nvGrpSpPr>
        <xdr:cNvPr id="19" name="组合 18">
          <a:extLst>
            <a:ext uri="{FF2B5EF4-FFF2-40B4-BE49-F238E27FC236}">
              <a16:creationId xmlns:a16="http://schemas.microsoft.com/office/drawing/2014/main" id="{165B6638-CCF1-403B-BBF9-5B4036071BB2}"/>
            </a:ext>
          </a:extLst>
        </xdr:cNvPr>
        <xdr:cNvGrpSpPr/>
      </xdr:nvGrpSpPr>
      <xdr:grpSpPr>
        <a:xfrm>
          <a:off x="2320290" y="6717323"/>
          <a:ext cx="1506708" cy="737675"/>
          <a:chOff x="2586990" y="4792980"/>
          <a:chExt cx="1417320" cy="763905"/>
        </a:xfrm>
      </xdr:grpSpPr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C12170CA-D453-2446-E564-1A505FE6C2AD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接箭头连接符 20">
            <a:extLst>
              <a:ext uri="{FF2B5EF4-FFF2-40B4-BE49-F238E27FC236}">
                <a16:creationId xmlns:a16="http://schemas.microsoft.com/office/drawing/2014/main" id="{A7CC6600-E687-E2B2-F0B7-0737D3AC93D9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0</xdr:colOff>
      <xdr:row>19</xdr:row>
      <xdr:rowOff>118110</xdr:rowOff>
    </xdr:from>
    <xdr:to>
      <xdr:col>5</xdr:col>
      <xdr:colOff>7620</xdr:colOff>
      <xdr:row>21</xdr:row>
      <xdr:rowOff>100821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3028C4B-5393-435B-9667-5D444F875EA5}"/>
            </a:ext>
          </a:extLst>
        </xdr:cNvPr>
        <xdr:cNvGrpSpPr/>
      </xdr:nvGrpSpPr>
      <xdr:grpSpPr>
        <a:xfrm>
          <a:off x="5052646" y="4525987"/>
          <a:ext cx="1256128" cy="334403"/>
          <a:chOff x="2259965" y="5321935"/>
          <a:chExt cx="1409700" cy="344463"/>
        </a:xfrm>
      </xdr:grpSpPr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AF27779B-3B16-AD96-FBF0-822EFDD7C714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接箭头连接符 23">
            <a:extLst>
              <a:ext uri="{FF2B5EF4-FFF2-40B4-BE49-F238E27FC236}">
                <a16:creationId xmlns:a16="http://schemas.microsoft.com/office/drawing/2014/main" id="{F4E0316A-B1BE-8641-1E57-6A286074AE56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1245870</xdr:colOff>
      <xdr:row>23</xdr:row>
      <xdr:rowOff>83820</xdr:rowOff>
    </xdr:from>
    <xdr:to>
      <xdr:col>5</xdr:col>
      <xdr:colOff>0</xdr:colOff>
      <xdr:row>25</xdr:row>
      <xdr:rowOff>72246</xdr:rowOff>
    </xdr:to>
    <xdr:grpSp>
      <xdr:nvGrpSpPr>
        <xdr:cNvPr id="25" name="组合 24">
          <a:extLst>
            <a:ext uri="{FF2B5EF4-FFF2-40B4-BE49-F238E27FC236}">
              <a16:creationId xmlns:a16="http://schemas.microsoft.com/office/drawing/2014/main" id="{52318331-85E8-4F10-8EFC-80C705A3839F}"/>
            </a:ext>
          </a:extLst>
        </xdr:cNvPr>
        <xdr:cNvGrpSpPr/>
      </xdr:nvGrpSpPr>
      <xdr:grpSpPr>
        <a:xfrm>
          <a:off x="5050008" y="5195082"/>
          <a:ext cx="1251146" cy="340118"/>
          <a:chOff x="2259965" y="5321935"/>
          <a:chExt cx="1409700" cy="344463"/>
        </a:xfrm>
      </xdr:grpSpPr>
      <xdr:cxnSp macro="">
        <xdr:nvCxnSpPr>
          <xdr:cNvPr id="26" name="直接箭头连接符 25">
            <a:extLst>
              <a:ext uri="{FF2B5EF4-FFF2-40B4-BE49-F238E27FC236}">
                <a16:creationId xmlns:a16="http://schemas.microsoft.com/office/drawing/2014/main" id="{DF74A46A-8060-7C78-CD3F-3380A1E0243F}"/>
              </a:ext>
            </a:extLst>
          </xdr:cNvPr>
          <xdr:cNvCxnSpPr/>
        </xdr:nvCxnSpPr>
        <xdr:spPr>
          <a:xfrm flipV="1">
            <a:off x="2259965" y="5321935"/>
            <a:ext cx="1409700" cy="1809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接箭头连接符 26">
            <a:extLst>
              <a:ext uri="{FF2B5EF4-FFF2-40B4-BE49-F238E27FC236}">
                <a16:creationId xmlns:a16="http://schemas.microsoft.com/office/drawing/2014/main" id="{0E85E748-8B80-1EFF-077F-3BA7935F6345}"/>
              </a:ext>
            </a:extLst>
          </xdr:cNvPr>
          <xdr:cNvCxnSpPr/>
        </xdr:nvCxnSpPr>
        <xdr:spPr>
          <a:xfrm>
            <a:off x="2275205" y="5502323"/>
            <a:ext cx="1393874" cy="1640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1710690</xdr:colOff>
      <xdr:row>20</xdr:row>
      <xdr:rowOff>76200</xdr:rowOff>
    </xdr:from>
    <xdr:to>
      <xdr:col>3</xdr:col>
      <xdr:colOff>26670</xdr:colOff>
      <xdr:row>24</xdr:row>
      <xdr:rowOff>110490</xdr:rowOff>
    </xdr:to>
    <xdr:grpSp>
      <xdr:nvGrpSpPr>
        <xdr:cNvPr id="28" name="组合 27">
          <a:extLst>
            <a:ext uri="{FF2B5EF4-FFF2-40B4-BE49-F238E27FC236}">
              <a16:creationId xmlns:a16="http://schemas.microsoft.com/office/drawing/2014/main" id="{E06D3AC2-1CB5-4BEC-9A1D-075A29424044}"/>
            </a:ext>
          </a:extLst>
        </xdr:cNvPr>
        <xdr:cNvGrpSpPr/>
      </xdr:nvGrpSpPr>
      <xdr:grpSpPr>
        <a:xfrm>
          <a:off x="2320290" y="4659923"/>
          <a:ext cx="1510518" cy="737675"/>
          <a:chOff x="2586990" y="4792980"/>
          <a:chExt cx="1417320" cy="763905"/>
        </a:xfrm>
      </xdr:grpSpPr>
      <xdr:cxnSp macro="">
        <xdr:nvCxnSpPr>
          <xdr:cNvPr id="29" name="直接箭头连接符 28">
            <a:extLst>
              <a:ext uri="{FF2B5EF4-FFF2-40B4-BE49-F238E27FC236}">
                <a16:creationId xmlns:a16="http://schemas.microsoft.com/office/drawing/2014/main" id="{1BE6A8FC-6F02-4C9A-0524-509857169D7F}"/>
              </a:ext>
            </a:extLst>
          </xdr:cNvPr>
          <xdr:cNvCxnSpPr/>
        </xdr:nvCxnSpPr>
        <xdr:spPr>
          <a:xfrm flipV="1">
            <a:off x="2586990" y="4792980"/>
            <a:ext cx="1398270" cy="39153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接箭头连接符 29">
            <a:extLst>
              <a:ext uri="{FF2B5EF4-FFF2-40B4-BE49-F238E27FC236}">
                <a16:creationId xmlns:a16="http://schemas.microsoft.com/office/drawing/2014/main" id="{FD0014D7-7C21-DA70-B45F-B7D43012DD9A}"/>
              </a:ext>
            </a:extLst>
          </xdr:cNvPr>
          <xdr:cNvCxnSpPr/>
        </xdr:nvCxnSpPr>
        <xdr:spPr>
          <a:xfrm>
            <a:off x="2594528" y="5185834"/>
            <a:ext cx="1409782" cy="37105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140677</xdr:colOff>
      <xdr:row>38</xdr:row>
      <xdr:rowOff>82061</xdr:rowOff>
    </xdr:from>
    <xdr:to>
      <xdr:col>4</xdr:col>
      <xdr:colOff>421440</xdr:colOff>
      <xdr:row>41</xdr:row>
      <xdr:rowOff>135474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D922F0A7-87B5-9B8F-7DFC-DD2C2BD0D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0277" y="7954107"/>
          <a:ext cx="4723809" cy="5809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</xdr:colOff>
      <xdr:row>11</xdr:row>
      <xdr:rowOff>137160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8310BDFC-A06A-4887-8722-730878CF30DA}"/>
                </a:ext>
              </a:extLst>
            </xdr:cNvPr>
            <xdr:cNvSpPr txBox="1"/>
          </xdr:nvSpPr>
          <xdr:spPr>
            <a:xfrm>
              <a:off x="4152900" y="269748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𝑢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2" name="文本框 1">
              <a:extLst>
                <a:ext uri="{FF2B5EF4-FFF2-40B4-BE49-F238E27FC236}">
                  <a16:creationId xmlns:a16="http://schemas.microsoft.com/office/drawing/2014/main" id="{8310BDFC-A06A-4887-8722-730878CF30DA}"/>
                </a:ext>
              </a:extLst>
            </xdr:cNvPr>
            <xdr:cNvSpPr txBox="1"/>
          </xdr:nvSpPr>
          <xdr:spPr>
            <a:xfrm>
              <a:off x="4152900" y="2697480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𝑃_𝑢=(𝑅−𝐷)/(𝑈−𝐷)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11430</xdr:colOff>
      <xdr:row>13</xdr:row>
      <xdr:rowOff>5715</xdr:rowOff>
    </xdr:from>
    <xdr:ext cx="1076128" cy="3549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49BE1992-85FA-4F21-9922-8763CD7D81C1}"/>
                </a:ext>
              </a:extLst>
            </xdr:cNvPr>
            <xdr:cNvSpPr txBox="1"/>
          </xdr:nvSpPr>
          <xdr:spPr>
            <a:xfrm>
              <a:off x="4149090" y="303847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zh-CN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num>
                      <m:den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𝑈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en-US" altLang="zh-CN" sz="1100" b="0"/>
            </a:p>
            <a:p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>
              <a:extLst>
                <a:ext uri="{FF2B5EF4-FFF2-40B4-BE49-F238E27FC236}">
                  <a16:creationId xmlns:a16="http://schemas.microsoft.com/office/drawing/2014/main" id="{49BE1992-85FA-4F21-9922-8763CD7D81C1}"/>
                </a:ext>
              </a:extLst>
            </xdr:cNvPr>
            <xdr:cNvSpPr txBox="1"/>
          </xdr:nvSpPr>
          <xdr:spPr>
            <a:xfrm>
              <a:off x="4149090" y="3038475"/>
              <a:ext cx="1076128" cy="3549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altLang="zh-CN" sz="1100" b="0" i="0">
                  <a:latin typeface="Cambria Math" panose="02040503050406030204" pitchFamily="18" charset="0"/>
                </a:rPr>
                <a:t>𝑃_𝑑=(𝑈−𝑅)/(𝑈−𝐷)</a:t>
              </a:r>
              <a:endParaRPr lang="en-US" altLang="zh-CN" sz="1100" b="0"/>
            </a:p>
            <a:p>
              <a:endParaRPr lang="zh-CN" altLang="en-US" sz="1100"/>
            </a:p>
          </xdr:txBody>
        </xdr:sp>
      </mc:Fallback>
    </mc:AlternateContent>
    <xdr:clientData/>
  </xdr:oneCellAnchor>
  <xdr:oneCellAnchor>
    <xdr:from>
      <xdr:col>3</xdr:col>
      <xdr:colOff>1245870</xdr:colOff>
      <xdr:row>15</xdr:row>
      <xdr:rowOff>253365</xdr:rowOff>
    </xdr:from>
    <xdr:ext cx="65" cy="172227"/>
    <xdr:sp macro="" textlink="">
      <xdr:nvSpPr>
        <xdr:cNvPr id="24" name="文本框 23">
          <a:extLst>
            <a:ext uri="{FF2B5EF4-FFF2-40B4-BE49-F238E27FC236}">
              <a16:creationId xmlns:a16="http://schemas.microsoft.com/office/drawing/2014/main" id="{781770C3-868C-4559-87D8-A5C193B3F849}"/>
            </a:ext>
          </a:extLst>
        </xdr:cNvPr>
        <xdr:cNvSpPr txBox="1"/>
      </xdr:nvSpPr>
      <xdr:spPr>
        <a:xfrm>
          <a:off x="5383530" y="378904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showGridLines="0" tabSelected="1" zoomScale="220" zoomScaleNormal="22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3" sqref="E13"/>
    </sheetView>
  </sheetViews>
  <sheetFormatPr defaultColWidth="9" defaultRowHeight="13.8"/>
  <cols>
    <col min="2" max="2" width="20.77734375" customWidth="1"/>
  </cols>
  <sheetData>
    <row r="1" spans="1:6">
      <c r="A1" s="44" t="s">
        <v>0</v>
      </c>
      <c r="B1" s="44" t="s">
        <v>1</v>
      </c>
      <c r="C1" s="44" t="s">
        <v>2</v>
      </c>
      <c r="D1" s="7"/>
      <c r="E1" s="7"/>
      <c r="F1" s="7"/>
    </row>
    <row r="2" spans="1:6">
      <c r="A2" s="22">
        <f>IF(B2&lt;&gt;"",ROW()-1,"")</f>
        <v>1</v>
      </c>
      <c r="B2" s="45" t="str">
        <f>IFERROR(REPLACE(INDEX(roadmap,1,ROW()),1,FIND("]",INDEX(roadmap,1,ROW())),""),"")</f>
        <v>简介</v>
      </c>
      <c r="C2" s="46" t="str">
        <f>IF(B2&lt;&gt;"",HYPERLINK("#"&amp;B2&amp;"!A1","Link"),"")</f>
        <v>Link</v>
      </c>
    </row>
    <row r="3" spans="1:6">
      <c r="A3" s="22">
        <f t="shared" ref="A3:A37" si="0">IF(B3&lt;&gt;"",ROW()-1,"")</f>
        <v>2</v>
      </c>
      <c r="B3" s="45" t="str">
        <f>IFERROR(REPLACE(INDEX(roadmap,1,ROW()),1,FIND("]",INDEX(roadmap,1,ROW())),""),"")</f>
        <v>一期看涨期权定价</v>
      </c>
      <c r="C3" s="46" t="str">
        <f t="shared" ref="C3:C37" si="1">IF(B3&lt;&gt;"",HYPERLINK("#"&amp;B3&amp;"!A1","Link"),"")</f>
        <v>Link</v>
      </c>
    </row>
    <row r="4" spans="1:6">
      <c r="A4" s="22">
        <f t="shared" si="0"/>
        <v>3</v>
      </c>
      <c r="B4" s="45" t="str">
        <f>IFERROR(REPLACE(INDEX(roadmap,1,ROW()),1,FIND("]",INDEX(roadmap,1,ROW())),""),"")</f>
        <v>一期看跌期权定价</v>
      </c>
      <c r="C4" s="46" t="str">
        <f t="shared" si="1"/>
        <v>Link</v>
      </c>
    </row>
    <row r="5" spans="1:6">
      <c r="A5" s="22">
        <f t="shared" si="0"/>
        <v>4</v>
      </c>
      <c r="B5" s="45" t="str">
        <f>IFERROR(REPLACE(INDEX(roadmap,1,ROW()),1,FIND("]",INDEX(roadmap,1,ROW())),""),"")</f>
        <v>复制法</v>
      </c>
      <c r="C5" s="46" t="str">
        <f t="shared" si="1"/>
        <v>Link</v>
      </c>
    </row>
    <row r="6" spans="1:6">
      <c r="A6" s="22">
        <f t="shared" si="0"/>
        <v>5</v>
      </c>
      <c r="B6" s="45" t="str">
        <f>IFERROR(REPLACE(INDEX(roadmap,1,ROW()),1,FIND("]",INDEX(roadmap,1,ROW())),""),"")</f>
        <v>风险中性定价方法</v>
      </c>
      <c r="C6" s="46" t="str">
        <f t="shared" si="1"/>
        <v>Link</v>
      </c>
    </row>
    <row r="7" spans="1:6">
      <c r="A7" s="22">
        <f t="shared" si="0"/>
        <v>6</v>
      </c>
      <c r="B7" s="45" t="str">
        <f>IFERROR(REPLACE(INDEX(roadmap,1,ROW()),1,FIND("]",INDEX(roadmap,1,ROW())),""),"")</f>
        <v>状态价格</v>
      </c>
      <c r="C7" s="46" t="str">
        <f t="shared" si="1"/>
        <v>Link</v>
      </c>
    </row>
    <row r="8" spans="1:6">
      <c r="A8" s="22">
        <f t="shared" si="0"/>
        <v>7</v>
      </c>
      <c r="B8" s="45" t="str">
        <f>IFERROR(REPLACE(INDEX(roadmap,1,ROW()),1,FIND("]",INDEX(roadmap,1,ROW())),""),"")</f>
        <v>一个简单二步二叉树案例</v>
      </c>
      <c r="C8" s="46" t="str">
        <f t="shared" si="1"/>
        <v>Link</v>
      </c>
    </row>
    <row r="9" spans="1:6">
      <c r="A9" s="22">
        <f t="shared" si="0"/>
        <v>8</v>
      </c>
      <c r="B9" s="45" t="str">
        <f>IFERROR(REPLACE(INDEX(roadmap,1,ROW()),1,FIND("]",INDEX(roadmap,1,ROW())),""),"")</f>
        <v>用数据表进行一步计算</v>
      </c>
      <c r="C9" s="46" t="str">
        <f t="shared" si="1"/>
        <v>Link</v>
      </c>
    </row>
    <row r="10" spans="1:6">
      <c r="A10" s="22">
        <f t="shared" si="0"/>
        <v>9</v>
      </c>
      <c r="B10" s="45" t="str">
        <f>IFERROR(REPLACE(INDEX(roadmap,1,ROW()),1,FIND("]",INDEX(roadmap,1,ROW())),""),"")</f>
        <v>用VBA计算欧式期权</v>
      </c>
      <c r="C10" s="46" t="str">
        <f t="shared" si="1"/>
        <v>Link</v>
      </c>
    </row>
    <row r="11" spans="1:6">
      <c r="A11" s="22">
        <f t="shared" si="0"/>
        <v>10</v>
      </c>
      <c r="B11" s="45" t="str">
        <f>IFERROR(REPLACE(INDEX(roadmap,1,ROW()),1,FIND("]",INDEX(roadmap,1,ROW())),""),"")</f>
        <v>二叉树美式期权</v>
      </c>
      <c r="C11" s="46" t="str">
        <f t="shared" si="1"/>
        <v>Link</v>
      </c>
    </row>
    <row r="12" spans="1:6">
      <c r="A12" s="22">
        <f t="shared" si="0"/>
        <v>11</v>
      </c>
      <c r="B12" s="45" t="str">
        <f>IFERROR(REPLACE(INDEX(roadmap,1,ROW()),1,FIND("]",INDEX(roadmap,1,ROW())),""),"")</f>
        <v>用VBA计算美式期权</v>
      </c>
      <c r="C12" s="46" t="str">
        <f t="shared" si="1"/>
        <v>Link</v>
      </c>
    </row>
    <row r="13" spans="1:6">
      <c r="A13" s="22" t="str">
        <f t="shared" si="0"/>
        <v/>
      </c>
      <c r="B13" s="45" t="str">
        <f>IFERROR(REPLACE(INDEX(roadmap,1,ROW()),1,FIND("]",INDEX(roadmap,1,ROW())),""),"")</f>
        <v/>
      </c>
      <c r="C13" s="46" t="str">
        <f t="shared" si="1"/>
        <v/>
      </c>
    </row>
    <row r="14" spans="1:6" ht="16.2">
      <c r="A14" s="22" t="str">
        <f t="shared" si="0"/>
        <v/>
      </c>
      <c r="B14" s="45" t="str">
        <f>IFERROR(REPLACE(INDEX(roadmap,1,ROW()),1,FIND("]",INDEX(roadmap,1,ROW())),""),"")</f>
        <v/>
      </c>
      <c r="C14" s="46" t="str">
        <f t="shared" si="1"/>
        <v/>
      </c>
      <c r="D14" s="2"/>
    </row>
    <row r="15" spans="1:6">
      <c r="A15" s="22" t="str">
        <f t="shared" si="0"/>
        <v/>
      </c>
      <c r="B15" s="45" t="str">
        <f>IFERROR(REPLACE(INDEX(roadmap,1,ROW()),1,FIND("]",INDEX(roadmap,1,ROW())),""),"")</f>
        <v/>
      </c>
      <c r="C15" s="46" t="str">
        <f t="shared" si="1"/>
        <v/>
      </c>
    </row>
    <row r="16" spans="1:6">
      <c r="A16" s="22" t="str">
        <f t="shared" si="0"/>
        <v/>
      </c>
      <c r="B16" s="45" t="str">
        <f>IFERROR(REPLACE(INDEX(roadmap,1,ROW()),1,FIND("]",INDEX(roadmap,1,ROW())),""),"")</f>
        <v/>
      </c>
      <c r="C16" s="46" t="str">
        <f t="shared" si="1"/>
        <v/>
      </c>
    </row>
    <row r="17" spans="1:3">
      <c r="A17" s="22" t="str">
        <f t="shared" si="0"/>
        <v/>
      </c>
      <c r="B17" s="45" t="str">
        <f>IFERROR(REPLACE(INDEX(roadmap,1,ROW()),1,FIND("]",INDEX(roadmap,1,ROW())),""),"")</f>
        <v/>
      </c>
      <c r="C17" s="46" t="str">
        <f t="shared" si="1"/>
        <v/>
      </c>
    </row>
    <row r="18" spans="1:3">
      <c r="A18" s="22" t="str">
        <f t="shared" si="0"/>
        <v/>
      </c>
      <c r="B18" s="45" t="str">
        <f>IFERROR(REPLACE(INDEX(roadmap,1,ROW()),1,FIND("]",INDEX(roadmap,1,ROW())),""),"")</f>
        <v/>
      </c>
      <c r="C18" s="46" t="str">
        <f t="shared" si="1"/>
        <v/>
      </c>
    </row>
    <row r="19" spans="1:3">
      <c r="A19" s="22" t="str">
        <f t="shared" si="0"/>
        <v/>
      </c>
      <c r="B19" s="45" t="str">
        <f>IFERROR(REPLACE(INDEX(roadmap,1,ROW()),1,FIND("]",INDEX(roadmap,1,ROW())),""),"")</f>
        <v/>
      </c>
      <c r="C19" s="46" t="str">
        <f t="shared" si="1"/>
        <v/>
      </c>
    </row>
    <row r="20" spans="1:3">
      <c r="A20" s="22" t="str">
        <f t="shared" si="0"/>
        <v/>
      </c>
      <c r="B20" s="45" t="str">
        <f>IFERROR(REPLACE(INDEX(roadmap,1,ROW()),1,FIND("]",INDEX(roadmap,1,ROW())),""),"")</f>
        <v/>
      </c>
      <c r="C20" s="46" t="str">
        <f t="shared" si="1"/>
        <v/>
      </c>
    </row>
    <row r="21" spans="1:3">
      <c r="A21" s="22" t="str">
        <f t="shared" si="0"/>
        <v/>
      </c>
      <c r="B21" s="45" t="str">
        <f>IFERROR(REPLACE(INDEX(roadmap,1,ROW()),1,FIND("]",INDEX(roadmap,1,ROW())),""),"")</f>
        <v/>
      </c>
      <c r="C21" s="46" t="str">
        <f t="shared" si="1"/>
        <v/>
      </c>
    </row>
    <row r="22" spans="1:3">
      <c r="A22" s="22" t="str">
        <f t="shared" si="0"/>
        <v/>
      </c>
      <c r="B22" s="45" t="str">
        <f>IFERROR(REPLACE(INDEX(roadmap,1,ROW()),1,FIND("]",INDEX(roadmap,1,ROW())),""),"")</f>
        <v/>
      </c>
      <c r="C22" s="46" t="str">
        <f t="shared" si="1"/>
        <v/>
      </c>
    </row>
    <row r="23" spans="1:3">
      <c r="A23" s="22" t="str">
        <f t="shared" si="0"/>
        <v/>
      </c>
      <c r="B23" s="45" t="str">
        <f>IFERROR(REPLACE(INDEX(roadmap,1,ROW()),1,FIND("]",INDEX(roadmap,1,ROW())),""),"")</f>
        <v/>
      </c>
      <c r="C23" s="46" t="str">
        <f t="shared" si="1"/>
        <v/>
      </c>
    </row>
    <row r="24" spans="1:3">
      <c r="A24" s="22" t="str">
        <f t="shared" si="0"/>
        <v/>
      </c>
      <c r="B24" s="45" t="str">
        <f>IFERROR(REPLACE(INDEX(roadmap,1,ROW()),1,FIND("]",INDEX(roadmap,1,ROW())),""),"")</f>
        <v/>
      </c>
      <c r="C24" s="46" t="str">
        <f t="shared" si="1"/>
        <v/>
      </c>
    </row>
    <row r="25" spans="1:3">
      <c r="A25" s="22" t="str">
        <f t="shared" si="0"/>
        <v/>
      </c>
      <c r="B25" s="45" t="str">
        <f>IFERROR(REPLACE(INDEX(roadmap,1,ROW()),1,FIND("]",INDEX(roadmap,1,ROW())),""),"")</f>
        <v/>
      </c>
      <c r="C25" s="46" t="str">
        <f t="shared" si="1"/>
        <v/>
      </c>
    </row>
    <row r="26" spans="1:3">
      <c r="A26" s="22" t="str">
        <f t="shared" si="0"/>
        <v/>
      </c>
      <c r="B26" s="45" t="str">
        <f>IFERROR(REPLACE(INDEX(roadmap,1,ROW()),1,FIND("]",INDEX(roadmap,1,ROW())),""),"")</f>
        <v/>
      </c>
      <c r="C26" s="46" t="str">
        <f t="shared" si="1"/>
        <v/>
      </c>
    </row>
    <row r="27" spans="1:3">
      <c r="A27" s="22" t="str">
        <f t="shared" si="0"/>
        <v/>
      </c>
      <c r="B27" s="45" t="str">
        <f>IFERROR(REPLACE(INDEX(roadmap,1,ROW()),1,FIND("]",INDEX(roadmap,1,ROW())),""),"")</f>
        <v/>
      </c>
      <c r="C27" s="46" t="str">
        <f t="shared" si="1"/>
        <v/>
      </c>
    </row>
    <row r="28" spans="1:3">
      <c r="A28" s="22" t="str">
        <f t="shared" si="0"/>
        <v/>
      </c>
      <c r="B28" s="45" t="str">
        <f>IFERROR(REPLACE(INDEX(roadmap,1,ROW()),1,FIND("]",INDEX(roadmap,1,ROW())),""),"")</f>
        <v/>
      </c>
      <c r="C28" s="46" t="str">
        <f t="shared" si="1"/>
        <v/>
      </c>
    </row>
    <row r="29" spans="1:3">
      <c r="A29" s="22" t="str">
        <f t="shared" si="0"/>
        <v/>
      </c>
      <c r="B29" s="45" t="str">
        <f>IFERROR(REPLACE(INDEX(roadmap,1,ROW()),1,FIND("]",INDEX(roadmap,1,ROW())),""),"")</f>
        <v/>
      </c>
      <c r="C29" s="46" t="str">
        <f t="shared" si="1"/>
        <v/>
      </c>
    </row>
    <row r="30" spans="1:3">
      <c r="A30" s="22" t="str">
        <f t="shared" si="0"/>
        <v/>
      </c>
      <c r="B30" s="45" t="str">
        <f>IFERROR(REPLACE(INDEX(roadmap,1,ROW()),1,FIND("]",INDEX(roadmap,1,ROW())),""),"")</f>
        <v/>
      </c>
      <c r="C30" s="46" t="str">
        <f t="shared" si="1"/>
        <v/>
      </c>
    </row>
    <row r="31" spans="1:3">
      <c r="A31" s="22" t="str">
        <f t="shared" si="0"/>
        <v/>
      </c>
      <c r="B31" s="45" t="str">
        <f>IFERROR(REPLACE(INDEX(roadmap,1,ROW()),1,FIND("]",INDEX(roadmap,1,ROW())),""),"")</f>
        <v/>
      </c>
      <c r="C31" s="46" t="str">
        <f t="shared" si="1"/>
        <v/>
      </c>
    </row>
    <row r="32" spans="1:3">
      <c r="A32" s="22" t="str">
        <f t="shared" si="0"/>
        <v/>
      </c>
      <c r="B32" s="45" t="str">
        <f>IFERROR(REPLACE(INDEX(roadmap,1,ROW()),1,FIND("]",INDEX(roadmap,1,ROW())),""),"")</f>
        <v/>
      </c>
      <c r="C32" s="46" t="str">
        <f t="shared" si="1"/>
        <v/>
      </c>
    </row>
    <row r="33" spans="1:3">
      <c r="A33" s="22" t="str">
        <f t="shared" si="0"/>
        <v/>
      </c>
      <c r="B33" s="45" t="str">
        <f>IFERROR(REPLACE(INDEX(roadmap,1,ROW()),1,FIND("]",INDEX(roadmap,1,ROW())),""),"")</f>
        <v/>
      </c>
      <c r="C33" s="46" t="str">
        <f t="shared" si="1"/>
        <v/>
      </c>
    </row>
    <row r="34" spans="1:3">
      <c r="A34" s="22" t="str">
        <f t="shared" si="0"/>
        <v/>
      </c>
      <c r="B34" s="45" t="str">
        <f>IFERROR(REPLACE(INDEX(roadmap,1,ROW()),1,FIND("]",INDEX(roadmap,1,ROW())),""),"")</f>
        <v/>
      </c>
      <c r="C34" s="46" t="str">
        <f t="shared" si="1"/>
        <v/>
      </c>
    </row>
    <row r="35" spans="1:3">
      <c r="A35" s="22" t="str">
        <f t="shared" si="0"/>
        <v/>
      </c>
      <c r="B35" s="45" t="str">
        <f>IFERROR(REPLACE(INDEX(roadmap,1,ROW()),1,FIND("]",INDEX(roadmap,1,ROW())),""),"")</f>
        <v/>
      </c>
      <c r="C35" s="46" t="str">
        <f t="shared" si="1"/>
        <v/>
      </c>
    </row>
    <row r="36" spans="1:3">
      <c r="A36" s="22" t="str">
        <f t="shared" si="0"/>
        <v/>
      </c>
      <c r="B36" s="45" t="str">
        <f>IFERROR(REPLACE(INDEX(roadmap,1,ROW()),1,FIND("]",INDEX(roadmap,1,ROW())),""),"")</f>
        <v/>
      </c>
      <c r="C36" s="46" t="str">
        <f t="shared" si="1"/>
        <v/>
      </c>
    </row>
    <row r="37" spans="1:3">
      <c r="A37" s="22" t="str">
        <f t="shared" si="0"/>
        <v/>
      </c>
      <c r="B37" s="45" t="str">
        <f>IFERROR(REPLACE(INDEX(roadmap,1,ROW()),1,FIND("]",INDEX(roadmap,1,ROW())),""),"")</f>
        <v/>
      </c>
      <c r="C37" s="46" t="str">
        <f t="shared" si="1"/>
        <v/>
      </c>
    </row>
  </sheetData>
  <phoneticPr fontId="1" type="noConversion"/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2ECA3-9952-48B1-B928-6BF73A1CB35A}">
  <sheetPr codeName="Sheet2"/>
  <dimension ref="A1:J10"/>
  <sheetViews>
    <sheetView showGridLines="0" workbookViewId="0"/>
  </sheetViews>
  <sheetFormatPr defaultRowHeight="13.8"/>
  <sheetData>
    <row r="1" spans="1:10">
      <c r="A1" s="6" t="s">
        <v>3</v>
      </c>
    </row>
    <row r="2" spans="1:10" ht="32.4">
      <c r="B2" s="8" t="s">
        <v>4</v>
      </c>
      <c r="C2" s="9"/>
      <c r="D2" s="9"/>
      <c r="E2" s="9"/>
      <c r="F2" s="9"/>
      <c r="G2" s="9"/>
      <c r="H2" s="9"/>
      <c r="I2" s="9"/>
      <c r="J2" s="9"/>
    </row>
    <row r="5" spans="1:10" ht="18.600000000000001">
      <c r="B5" s="3" t="s">
        <v>5</v>
      </c>
    </row>
    <row r="6" spans="1:10" ht="18.600000000000001">
      <c r="B6" s="4" t="s">
        <v>6</v>
      </c>
    </row>
    <row r="7" spans="1:10" ht="18.600000000000001">
      <c r="B7" s="4" t="s">
        <v>7</v>
      </c>
    </row>
    <row r="8" spans="1:10" ht="18.600000000000001">
      <c r="B8" s="4" t="s">
        <v>8</v>
      </c>
    </row>
    <row r="9" spans="1:10" ht="19.2">
      <c r="B9" s="5"/>
    </row>
    <row r="10" spans="1:10" ht="18.600000000000001">
      <c r="B10" s="3" t="s">
        <v>9</v>
      </c>
    </row>
  </sheetData>
  <phoneticPr fontId="1" type="noConversion"/>
  <hyperlinks>
    <hyperlink ref="A1" location="目录!A1" display="back" xr:uid="{99194144-725C-411B-8360-4339CFEF98AA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8437E-CF95-4B0A-B6A0-16BB94C0250E}">
  <sheetPr codeName="Sheet3"/>
  <dimension ref="A1:I51"/>
  <sheetViews>
    <sheetView showGridLines="0" zoomScaleNormal="100" workbookViewId="0"/>
  </sheetViews>
  <sheetFormatPr defaultRowHeight="13.8"/>
  <cols>
    <col min="2" max="10" width="20.88671875" bestFit="1" customWidth="1"/>
  </cols>
  <sheetData>
    <row r="1" spans="1:5">
      <c r="A1" s="6" t="s">
        <v>3</v>
      </c>
    </row>
    <row r="2" spans="1:5" ht="32.4">
      <c r="B2" s="19" t="s">
        <v>10</v>
      </c>
      <c r="C2" s="9"/>
      <c r="D2" s="9"/>
      <c r="E2" s="9"/>
    </row>
    <row r="4" spans="1:5" ht="17.399999999999999">
      <c r="B4" s="10" t="s">
        <v>11</v>
      </c>
    </row>
    <row r="5" spans="1:5" ht="19.8">
      <c r="B5" s="10" t="s">
        <v>12</v>
      </c>
    </row>
    <row r="6" spans="1:5" ht="17.399999999999999">
      <c r="B6" s="10" t="s">
        <v>13</v>
      </c>
    </row>
    <row r="7" spans="1:5" ht="17.399999999999999">
      <c r="B7" s="10" t="s">
        <v>14</v>
      </c>
    </row>
    <row r="8" spans="1:5" ht="17.399999999999999">
      <c r="B8" s="10" t="s">
        <v>15</v>
      </c>
    </row>
    <row r="9" spans="1:5" ht="17.399999999999999">
      <c r="B9" s="10" t="s">
        <v>16</v>
      </c>
    </row>
    <row r="10" spans="1:5" ht="17.399999999999999">
      <c r="B10" s="10" t="s">
        <v>17</v>
      </c>
    </row>
    <row r="11" spans="1:5" ht="17.399999999999999">
      <c r="B11" s="10" t="s">
        <v>18</v>
      </c>
    </row>
    <row r="14" spans="1:5" ht="17.399999999999999">
      <c r="B14" s="12" t="s">
        <v>19</v>
      </c>
      <c r="C14" s="13">
        <v>1.1000000000000001</v>
      </c>
    </row>
    <row r="15" spans="1:5" ht="17.399999999999999">
      <c r="B15" s="12" t="s">
        <v>20</v>
      </c>
      <c r="C15" s="13">
        <v>0.97</v>
      </c>
    </row>
    <row r="16" spans="1:5" ht="19.8">
      <c r="B16" s="12" t="s">
        <v>21</v>
      </c>
      <c r="C16" s="13">
        <v>50</v>
      </c>
    </row>
    <row r="17" spans="2:9" ht="17.399999999999999">
      <c r="B17" s="12" t="s">
        <v>22</v>
      </c>
      <c r="C17" s="13">
        <v>1.06</v>
      </c>
      <c r="D17" t="s">
        <v>23</v>
      </c>
    </row>
    <row r="18" spans="2:9" ht="17.399999999999999">
      <c r="B18" s="12" t="s">
        <v>24</v>
      </c>
      <c r="C18" s="13">
        <v>50</v>
      </c>
    </row>
    <row r="23" spans="2:9" ht="17.399999999999999">
      <c r="B23" s="14" t="s">
        <v>25</v>
      </c>
      <c r="C23" s="7"/>
      <c r="D23" s="7"/>
      <c r="F23" s="14" t="s">
        <v>26</v>
      </c>
      <c r="G23" s="7"/>
      <c r="H23" s="7"/>
    </row>
    <row r="24" spans="2:9" ht="17.399999999999999">
      <c r="B24" s="14" t="s">
        <v>27</v>
      </c>
      <c r="C24" s="14"/>
      <c r="D24" s="14" t="s">
        <v>28</v>
      </c>
      <c r="F24" s="14" t="s">
        <v>27</v>
      </c>
      <c r="G24" s="14"/>
      <c r="H24" s="14" t="s">
        <v>28</v>
      </c>
    </row>
    <row r="25" spans="2:9">
      <c r="D25" s="15">
        <f>B26*$C$14</f>
        <v>55.000000000000007</v>
      </c>
      <c r="E25" t="str">
        <f ca="1">_xlfn.FORMULATEXT(D25)</f>
        <v>=B26*$C$14</v>
      </c>
      <c r="H25" s="15">
        <f>F26*C17</f>
        <v>1.06</v>
      </c>
      <c r="I25" t="str">
        <f ca="1">_xlfn.FORMULATEXT(H25)</f>
        <v>=F26*C17</v>
      </c>
    </row>
    <row r="26" spans="2:9">
      <c r="B26">
        <v>50</v>
      </c>
      <c r="D26" s="11"/>
      <c r="F26" s="11">
        <v>1</v>
      </c>
      <c r="H26" s="11"/>
    </row>
    <row r="27" spans="2:9">
      <c r="D27" s="15">
        <f>B26*C15</f>
        <v>48.5</v>
      </c>
      <c r="E27" t="str">
        <f ca="1">_xlfn.FORMULATEXT(D27)</f>
        <v>=B26*C15</v>
      </c>
      <c r="H27" s="15">
        <f>F26*C17</f>
        <v>1.06</v>
      </c>
      <c r="I27" t="str">
        <f ca="1">_xlfn.FORMULATEXT(H27)</f>
        <v>=F26*C17</v>
      </c>
    </row>
    <row r="30" spans="2:9" ht="17.399999999999999">
      <c r="B30" s="14" t="s">
        <v>29</v>
      </c>
      <c r="C30" s="7"/>
      <c r="D30" s="7"/>
    </row>
    <row r="31" spans="2:9" ht="17.399999999999999">
      <c r="B31" s="14" t="s">
        <v>27</v>
      </c>
      <c r="C31" s="14"/>
      <c r="D31" s="14" t="s">
        <v>28</v>
      </c>
    </row>
    <row r="32" spans="2:9">
      <c r="D32" s="15">
        <f>MAX(D25-$C$18,0)</f>
        <v>5.0000000000000071</v>
      </c>
      <c r="E32" t="str">
        <f ca="1">_xlfn.FORMULATEXT(D32)</f>
        <v>=MAX(D25-$C$18,0)</v>
      </c>
    </row>
    <row r="33" spans="2:5">
      <c r="B33" s="16" t="s">
        <v>30</v>
      </c>
      <c r="D33" s="11"/>
    </row>
    <row r="34" spans="2:5">
      <c r="D34" s="15">
        <f>MAX(D27-$C$18,0)</f>
        <v>0</v>
      </c>
      <c r="E34" t="str">
        <f ca="1">_xlfn.FORMULATEXT(D34)</f>
        <v>=MAX(D27-$C$18,0)</v>
      </c>
    </row>
    <row r="37" spans="2:5" ht="17.399999999999999">
      <c r="B37" s="10" t="s">
        <v>31</v>
      </c>
    </row>
    <row r="38" spans="2:5" ht="17.399999999999999">
      <c r="B38" s="10" t="s">
        <v>32</v>
      </c>
    </row>
    <row r="40" spans="2:5" ht="17.399999999999999">
      <c r="B40" s="10" t="s">
        <v>33</v>
      </c>
    </row>
    <row r="41" spans="2:5" ht="17.399999999999999">
      <c r="B41" s="10" t="s">
        <v>34</v>
      </c>
    </row>
    <row r="43" spans="2:5" ht="17.399999999999999">
      <c r="B43" s="10" t="s">
        <v>35</v>
      </c>
    </row>
    <row r="45" spans="2:5" ht="17.399999999999999">
      <c r="B45" s="18" t="s">
        <v>36</v>
      </c>
      <c r="C45" s="17">
        <f>(D32-D34)/(D25-D27)</f>
        <v>0.7692307692307695</v>
      </c>
      <c r="D45" t="str">
        <f ca="1">_xlfn.FORMULATEXT(C45)</f>
        <v>=(D32-D34)/(D25-D27)</v>
      </c>
    </row>
    <row r="46" spans="2:5" ht="17.399999999999999">
      <c r="B46" s="18" t="s">
        <v>37</v>
      </c>
      <c r="C46" s="17">
        <f>(D34-D27*C45)/H25</f>
        <v>-35.195936139332375</v>
      </c>
      <c r="D46" t="str">
        <f ca="1">_xlfn.FORMULATEXT(C46)</f>
        <v>=(D34-D27*C45)/H25</v>
      </c>
    </row>
    <row r="48" spans="2:5" ht="17.399999999999999">
      <c r="B48" s="10" t="s">
        <v>38</v>
      </c>
    </row>
    <row r="49" spans="2:4" ht="17.399999999999999">
      <c r="B49" s="10" t="s">
        <v>39</v>
      </c>
    </row>
    <row r="51" spans="2:4" ht="17.399999999999999">
      <c r="B51" s="10" t="s">
        <v>40</v>
      </c>
      <c r="C51" s="17">
        <f>C45*B26+C46*F26</f>
        <v>3.2656023222060995</v>
      </c>
      <c r="D51" t="str">
        <f ca="1">_xlfn.FORMULATEXT(C51)</f>
        <v>=C45*B26+C46*F26</v>
      </c>
    </row>
  </sheetData>
  <phoneticPr fontId="1" type="noConversion"/>
  <hyperlinks>
    <hyperlink ref="A1" location="目录!A1" display="back" xr:uid="{1F26A404-9685-4693-AFFD-638E8427B76E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8DB7F-AF7A-41D5-94A0-03AEE3F526C8}">
  <sheetPr codeName="Sheet4"/>
  <dimension ref="A1:I42"/>
  <sheetViews>
    <sheetView showGridLines="0" zoomScaleNormal="100" workbookViewId="0"/>
  </sheetViews>
  <sheetFormatPr defaultRowHeight="13.8"/>
  <cols>
    <col min="2" max="10" width="20.88671875" bestFit="1" customWidth="1"/>
  </cols>
  <sheetData>
    <row r="1" spans="1:9">
      <c r="A1" s="6" t="s">
        <v>3</v>
      </c>
    </row>
    <row r="2" spans="1:9" ht="32.4">
      <c r="B2" s="19" t="s">
        <v>41</v>
      </c>
      <c r="C2" s="9"/>
      <c r="D2" s="9"/>
      <c r="E2" s="9"/>
    </row>
    <row r="5" spans="1:9" ht="17.399999999999999">
      <c r="B5" s="12" t="s">
        <v>19</v>
      </c>
      <c r="C5" s="13">
        <v>1.1000000000000001</v>
      </c>
    </row>
    <row r="6" spans="1:9" ht="17.399999999999999">
      <c r="B6" s="12" t="s">
        <v>20</v>
      </c>
      <c r="C6" s="13">
        <v>0.97</v>
      </c>
    </row>
    <row r="7" spans="1:9" ht="19.8">
      <c r="B7" s="12" t="s">
        <v>21</v>
      </c>
      <c r="C7" s="13">
        <v>50</v>
      </c>
    </row>
    <row r="8" spans="1:9" ht="17.399999999999999">
      <c r="B8" s="12" t="s">
        <v>22</v>
      </c>
      <c r="C8" s="13">
        <v>1.06</v>
      </c>
      <c r="D8" t="s">
        <v>23</v>
      </c>
    </row>
    <row r="9" spans="1:9" ht="17.399999999999999">
      <c r="B9" s="12" t="s">
        <v>24</v>
      </c>
      <c r="C9" s="13">
        <v>50</v>
      </c>
    </row>
    <row r="14" spans="1:9" ht="17.399999999999999">
      <c r="B14" s="14" t="s">
        <v>25</v>
      </c>
      <c r="C14" s="7"/>
      <c r="D14" s="7"/>
      <c r="F14" s="14" t="s">
        <v>26</v>
      </c>
      <c r="G14" s="7"/>
      <c r="H14" s="7"/>
    </row>
    <row r="15" spans="1:9" ht="17.399999999999999">
      <c r="B15" s="14" t="s">
        <v>27</v>
      </c>
      <c r="C15" s="14"/>
      <c r="D15" s="14" t="s">
        <v>28</v>
      </c>
      <c r="F15" s="14" t="s">
        <v>27</v>
      </c>
      <c r="G15" s="14"/>
      <c r="H15" s="14" t="s">
        <v>28</v>
      </c>
    </row>
    <row r="16" spans="1:9">
      <c r="D16" s="15">
        <f>B17*$C$5</f>
        <v>55.000000000000007</v>
      </c>
      <c r="E16" t="str">
        <f ca="1">_xlfn.FORMULATEXT(D16)</f>
        <v>=B17*$C$5</v>
      </c>
      <c r="H16" s="15">
        <f>F17*C8</f>
        <v>1.06</v>
      </c>
      <c r="I16" t="str">
        <f ca="1">_xlfn.FORMULATEXT(H16)</f>
        <v>=F17*C8</v>
      </c>
    </row>
    <row r="17" spans="2:9">
      <c r="B17">
        <v>50</v>
      </c>
      <c r="D17" s="11"/>
      <c r="F17" s="11">
        <v>1</v>
      </c>
      <c r="H17" s="11"/>
    </row>
    <row r="18" spans="2:9">
      <c r="D18" s="15">
        <f>B17*C6</f>
        <v>48.5</v>
      </c>
      <c r="E18" t="str">
        <f ca="1">_xlfn.FORMULATEXT(D18)</f>
        <v>=B17*C6</v>
      </c>
      <c r="H18" s="15">
        <f>F17*C8</f>
        <v>1.06</v>
      </c>
      <c r="I18" t="str">
        <f ca="1">_xlfn.FORMULATEXT(H18)</f>
        <v>=F17*C8</v>
      </c>
    </row>
    <row r="21" spans="2:9" ht="17.399999999999999">
      <c r="B21" s="14" t="s">
        <v>29</v>
      </c>
      <c r="C21" s="7"/>
      <c r="D21" s="7"/>
    </row>
    <row r="22" spans="2:9" ht="17.399999999999999">
      <c r="B22" s="14" t="s">
        <v>27</v>
      </c>
      <c r="C22" s="14"/>
      <c r="D22" s="14" t="s">
        <v>28</v>
      </c>
    </row>
    <row r="23" spans="2:9">
      <c r="D23" s="15">
        <f>MAX($C$9-D16,0)</f>
        <v>0</v>
      </c>
      <c r="E23" t="str">
        <f ca="1">_xlfn.FORMULATEXT(D23)</f>
        <v>=MAX($C$9-D16,0)</v>
      </c>
    </row>
    <row r="24" spans="2:9">
      <c r="B24" s="16" t="s">
        <v>30</v>
      </c>
      <c r="D24" s="11"/>
    </row>
    <row r="25" spans="2:9">
      <c r="D25" s="15">
        <f>MAX($C$9-D18,0)</f>
        <v>1.5</v>
      </c>
      <c r="E25" t="str">
        <f ca="1">_xlfn.FORMULATEXT(D25)</f>
        <v>=MAX($C$9-D18,0)</v>
      </c>
    </row>
    <row r="28" spans="2:9" ht="17.399999999999999">
      <c r="B28" s="10" t="s">
        <v>31</v>
      </c>
    </row>
    <row r="29" spans="2:9" ht="17.399999999999999">
      <c r="B29" s="10" t="s">
        <v>32</v>
      </c>
    </row>
    <row r="31" spans="2:9" ht="17.399999999999999">
      <c r="B31" s="10" t="s">
        <v>42</v>
      </c>
    </row>
    <row r="32" spans="2:9" ht="17.399999999999999">
      <c r="B32" s="10" t="s">
        <v>43</v>
      </c>
    </row>
    <row r="34" spans="2:4" ht="17.399999999999999">
      <c r="B34" s="10" t="s">
        <v>35</v>
      </c>
    </row>
    <row r="36" spans="2:4" ht="17.399999999999999">
      <c r="B36" s="18" t="s">
        <v>36</v>
      </c>
      <c r="C36" s="17">
        <f>(D23-D25)/(D16-D18)</f>
        <v>-0.2307692307692305</v>
      </c>
      <c r="D36" t="str">
        <f ca="1">_xlfn.FORMULATEXT(C36)</f>
        <v>=(D23-D25)/(D16-D18)</v>
      </c>
    </row>
    <row r="37" spans="2:4" ht="17.399999999999999">
      <c r="B37" s="18" t="s">
        <v>37</v>
      </c>
      <c r="C37" s="17">
        <f>(D25-D18*C36)/H16</f>
        <v>11.973875181422338</v>
      </c>
      <c r="D37" t="str">
        <f ca="1">_xlfn.FORMULATEXT(C37)</f>
        <v>=(D25-D18*C36)/H16</v>
      </c>
    </row>
    <row r="39" spans="2:4" ht="17.399999999999999">
      <c r="B39" s="10" t="s">
        <v>38</v>
      </c>
    </row>
    <row r="40" spans="2:4" ht="17.399999999999999">
      <c r="B40" s="10" t="s">
        <v>39</v>
      </c>
    </row>
    <row r="42" spans="2:4" ht="17.399999999999999">
      <c r="B42" s="10" t="s">
        <v>40</v>
      </c>
      <c r="C42" s="17">
        <f>C36*B17+C37*F17</f>
        <v>0.4354136429608122</v>
      </c>
      <c r="D42" t="str">
        <f ca="1">_xlfn.FORMULATEXT(C42)</f>
        <v>=C36*B17+C37*F17</v>
      </c>
    </row>
  </sheetData>
  <phoneticPr fontId="1" type="noConversion"/>
  <hyperlinks>
    <hyperlink ref="A1" location="目录!A1" display="back" xr:uid="{3C204BA8-3306-47D4-8118-2F802F3E5EC8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6B32-9438-4B8E-838C-95DE3A2733AD}">
  <sheetPr codeName="Sheet5"/>
  <dimension ref="A1:E41"/>
  <sheetViews>
    <sheetView showGridLines="0" zoomScale="115" zoomScaleNormal="115" workbookViewId="0"/>
  </sheetViews>
  <sheetFormatPr defaultRowHeight="13.8"/>
  <cols>
    <col min="2" max="5" width="20.88671875" bestFit="1" customWidth="1"/>
  </cols>
  <sheetData>
    <row r="1" spans="1:5">
      <c r="A1" s="6" t="s">
        <v>3</v>
      </c>
    </row>
    <row r="2" spans="1:5" ht="32.4">
      <c r="B2" s="19" t="s">
        <v>44</v>
      </c>
      <c r="C2" s="9"/>
      <c r="D2" s="9"/>
      <c r="E2" s="9"/>
    </row>
    <row r="4" spans="1:5" ht="17.399999999999999">
      <c r="B4" s="12" t="s">
        <v>19</v>
      </c>
      <c r="C4" s="13">
        <v>1.1000000000000001</v>
      </c>
    </row>
    <row r="5" spans="1:5" ht="17.399999999999999">
      <c r="B5" s="12" t="s">
        <v>20</v>
      </c>
      <c r="C5" s="13">
        <v>0.97</v>
      </c>
    </row>
    <row r="6" spans="1:5" ht="19.8">
      <c r="B6" s="12" t="s">
        <v>21</v>
      </c>
      <c r="C6" s="13">
        <v>50</v>
      </c>
    </row>
    <row r="7" spans="1:5" ht="17.399999999999999">
      <c r="B7" s="12" t="s">
        <v>22</v>
      </c>
      <c r="C7" s="13">
        <v>1.06</v>
      </c>
    </row>
    <row r="8" spans="1:5" ht="17.399999999999999">
      <c r="B8" s="12" t="s">
        <v>24</v>
      </c>
      <c r="C8" s="13">
        <v>50</v>
      </c>
    </row>
    <row r="9" spans="1:5">
      <c r="C9" s="11"/>
    </row>
    <row r="10" spans="1:5">
      <c r="C10" s="11"/>
    </row>
    <row r="11" spans="1:5" ht="19.2">
      <c r="B11" s="21" t="s">
        <v>45</v>
      </c>
    </row>
    <row r="12" spans="1:5" ht="19.8">
      <c r="B12" s="12"/>
      <c r="C12" s="47" t="s">
        <v>46</v>
      </c>
      <c r="D12" s="47" t="s">
        <v>47</v>
      </c>
      <c r="E12" s="47"/>
    </row>
    <row r="13" spans="1:5" ht="19.8">
      <c r="B13" s="12" t="s">
        <v>48</v>
      </c>
      <c r="C13" s="47"/>
      <c r="D13" s="14" t="s">
        <v>49</v>
      </c>
      <c r="E13" s="14" t="s">
        <v>50</v>
      </c>
    </row>
    <row r="14" spans="1:5" ht="17.399999999999999">
      <c r="B14" s="12" t="s">
        <v>51</v>
      </c>
      <c r="C14" s="20" t="s">
        <v>52</v>
      </c>
      <c r="D14" s="20" t="s">
        <v>53</v>
      </c>
      <c r="E14" s="20" t="s">
        <v>54</v>
      </c>
    </row>
    <row r="15" spans="1:5" ht="17.399999999999999">
      <c r="B15" s="12" t="s">
        <v>55</v>
      </c>
      <c r="C15" s="20" t="s">
        <v>56</v>
      </c>
      <c r="D15" s="20" t="s">
        <v>57</v>
      </c>
      <c r="E15" s="20" t="s">
        <v>58</v>
      </c>
    </row>
    <row r="16" spans="1:5" ht="17.399999999999999">
      <c r="B16" s="12" t="s">
        <v>59</v>
      </c>
      <c r="C16" s="1" t="s">
        <v>60</v>
      </c>
      <c r="D16" s="1" t="s">
        <v>61</v>
      </c>
      <c r="E16" s="1" t="s">
        <v>62</v>
      </c>
    </row>
    <row r="19" spans="2:2" ht="19.2">
      <c r="B19" s="21" t="s">
        <v>63</v>
      </c>
    </row>
    <row r="21" spans="2:2" ht="16.2">
      <c r="B21" s="22" t="s">
        <v>64</v>
      </c>
    </row>
    <row r="23" spans="2:2" ht="19.2">
      <c r="B23" s="21" t="s">
        <v>65</v>
      </c>
    </row>
    <row r="24" spans="2:2">
      <c r="B24" s="23"/>
    </row>
    <row r="28" spans="2:2" ht="19.2">
      <c r="B28" s="21" t="s">
        <v>66</v>
      </c>
    </row>
    <row r="36" spans="2:3" ht="16.2">
      <c r="B36" s="25" t="s">
        <v>67</v>
      </c>
      <c r="C36" s="15">
        <f>C6*C4</f>
        <v>55.000000000000007</v>
      </c>
    </row>
    <row r="37" spans="2:3" ht="16.2">
      <c r="B37" s="25" t="s">
        <v>68</v>
      </c>
      <c r="C37" s="15">
        <f>C6*C5</f>
        <v>48.5</v>
      </c>
    </row>
    <row r="38" spans="2:3" ht="16.2">
      <c r="B38" s="25" t="s">
        <v>69</v>
      </c>
      <c r="C38" s="15">
        <f>MAX(C36-C8,0)</f>
        <v>5.0000000000000071</v>
      </c>
    </row>
    <row r="39" spans="2:3" ht="16.2">
      <c r="B39" s="25" t="s">
        <v>70</v>
      </c>
      <c r="C39" s="15">
        <f>MAX(C37-C8,0)</f>
        <v>0</v>
      </c>
    </row>
    <row r="40" spans="2:3" ht="16.2">
      <c r="B40" s="25" t="s">
        <v>71</v>
      </c>
      <c r="C40" s="24">
        <f>(C38-C39)/(C36-C37)</f>
        <v>0.7692307692307695</v>
      </c>
    </row>
    <row r="41" spans="2:3" ht="16.2">
      <c r="B41" s="25" t="s">
        <v>72</v>
      </c>
      <c r="C41" s="24">
        <f>C40*C6 - (C40*C37 -C39)/C7</f>
        <v>3.2656023222060995</v>
      </c>
    </row>
  </sheetData>
  <mergeCells count="2">
    <mergeCell ref="C12:C13"/>
    <mergeCell ref="D12:E12"/>
  </mergeCells>
  <phoneticPr fontId="1" type="noConversion"/>
  <hyperlinks>
    <hyperlink ref="A1" location="目录!A1" display="back" xr:uid="{F854F64E-429C-40D6-9CAA-65AE6BCFC982}"/>
  </hyperlinks>
  <pageMargins left="0.7" right="0.7" top="0.75" bottom="0.75" header="0.3" footer="0.3"/>
  <pageSetup paperSize="9" orientation="portrait" horizontalDpi="30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70A1-451B-4627-A8DE-C5D796328205}">
  <sheetPr codeName="Sheet6"/>
  <dimension ref="A1:E70"/>
  <sheetViews>
    <sheetView showGridLines="0" zoomScale="115" zoomScaleNormal="115" workbookViewId="0"/>
  </sheetViews>
  <sheetFormatPr defaultRowHeight="13.8"/>
  <cols>
    <col min="2" max="5" width="20.88671875" bestFit="1" customWidth="1"/>
  </cols>
  <sheetData>
    <row r="1" spans="1:5">
      <c r="A1" s="6" t="s">
        <v>3</v>
      </c>
    </row>
    <row r="2" spans="1:5" ht="32.4">
      <c r="B2" s="19" t="s">
        <v>73</v>
      </c>
      <c r="C2" s="9"/>
      <c r="D2" s="9"/>
      <c r="E2" s="9"/>
    </row>
    <row r="4" spans="1:5" ht="22.8">
      <c r="B4" s="27" t="s">
        <v>74</v>
      </c>
    </row>
    <row r="5" spans="1:5" ht="19.2">
      <c r="B5" s="28" t="s">
        <v>75</v>
      </c>
    </row>
    <row r="8" spans="1:5" ht="16.2">
      <c r="D8" t="s">
        <v>76</v>
      </c>
    </row>
    <row r="10" spans="1:5" ht="16.2">
      <c r="B10" s="16" t="s">
        <v>77</v>
      </c>
    </row>
    <row r="12" spans="1:5" ht="16.2">
      <c r="D12" t="s">
        <v>78</v>
      </c>
    </row>
    <row r="15" spans="1:5" ht="17.399999999999999">
      <c r="B15" s="26" t="s">
        <v>79</v>
      </c>
      <c r="C15" s="1" t="s">
        <v>80</v>
      </c>
    </row>
    <row r="16" spans="1:5" ht="17.399999999999999">
      <c r="B16" s="26" t="s">
        <v>81</v>
      </c>
      <c r="C16" s="1" t="s">
        <v>82</v>
      </c>
    </row>
    <row r="19" spans="2:2" ht="19.2">
      <c r="B19" s="28" t="s">
        <v>83</v>
      </c>
    </row>
    <row r="23" spans="2:2" ht="19.2">
      <c r="B23" s="28" t="s">
        <v>84</v>
      </c>
    </row>
    <row r="27" spans="2:2" ht="19.2">
      <c r="B27" s="28" t="s">
        <v>85</v>
      </c>
    </row>
    <row r="29" spans="2:2" ht="16.2">
      <c r="B29" s="2"/>
    </row>
    <row r="32" spans="2:2" ht="22.8">
      <c r="B32" s="27" t="s">
        <v>86</v>
      </c>
    </row>
    <row r="33" spans="2:5" ht="19.2">
      <c r="B33" s="28" t="s">
        <v>87</v>
      </c>
    </row>
    <row r="34" spans="2:5" ht="19.2">
      <c r="B34" s="28" t="s">
        <v>88</v>
      </c>
    </row>
    <row r="35" spans="2:5" ht="22.8">
      <c r="B35" s="28" t="s">
        <v>89</v>
      </c>
    </row>
    <row r="37" spans="2:5" ht="17.399999999999999">
      <c r="B37" s="12" t="s">
        <v>19</v>
      </c>
      <c r="C37" s="13">
        <v>1.1000000000000001</v>
      </c>
    </row>
    <row r="38" spans="2:5" ht="17.399999999999999">
      <c r="B38" s="12" t="s">
        <v>20</v>
      </c>
      <c r="C38" s="13">
        <v>0.97</v>
      </c>
    </row>
    <row r="39" spans="2:5" ht="19.8">
      <c r="B39" s="12" t="s">
        <v>21</v>
      </c>
      <c r="C39" s="13">
        <v>50</v>
      </c>
    </row>
    <row r="40" spans="2:5" ht="17.399999999999999">
      <c r="B40" s="12" t="s">
        <v>22</v>
      </c>
      <c r="C40" s="13">
        <v>1.06</v>
      </c>
    </row>
    <row r="41" spans="2:5" ht="17.399999999999999">
      <c r="B41" s="12" t="s">
        <v>24</v>
      </c>
      <c r="C41" s="13">
        <v>50</v>
      </c>
    </row>
    <row r="42" spans="2:5" ht="19.8">
      <c r="B42" s="12" t="s">
        <v>90</v>
      </c>
      <c r="C42" s="29">
        <f>(C40-C38)/(C37-C38)</f>
        <v>0.69230769230769229</v>
      </c>
      <c r="D42" t="str">
        <f ca="1">_xlfn.FORMULATEXT(C42)</f>
        <v>=(C40-C38)/(C37-C38)</v>
      </c>
    </row>
    <row r="43" spans="2:5" ht="19.8">
      <c r="B43" s="12" t="s">
        <v>91</v>
      </c>
      <c r="C43" s="29">
        <f>(C37-C40)/(C37-C38)</f>
        <v>0.30769230769230771</v>
      </c>
      <c r="D43" t="str">
        <f ca="1">_xlfn.FORMULATEXT(C43)</f>
        <v>=(C37-C40)/(C37-C38)</v>
      </c>
    </row>
    <row r="45" spans="2:5" ht="17.399999999999999">
      <c r="B45" s="14" t="s">
        <v>25</v>
      </c>
      <c r="C45" s="7"/>
      <c r="D45" s="7"/>
    </row>
    <row r="46" spans="2:5" ht="17.399999999999999">
      <c r="B46" s="14" t="s">
        <v>27</v>
      </c>
      <c r="C46" s="14"/>
      <c r="D46" s="14" t="s">
        <v>28</v>
      </c>
    </row>
    <row r="47" spans="2:5">
      <c r="D47" s="15">
        <f>C39*C37</f>
        <v>55.000000000000007</v>
      </c>
      <c r="E47" t="str">
        <f ca="1">_xlfn.FORMULATEXT(D47)</f>
        <v>=C39*C37</v>
      </c>
    </row>
    <row r="48" spans="2:5">
      <c r="B48">
        <v>50</v>
      </c>
      <c r="D48" s="11"/>
    </row>
    <row r="49" spans="2:5">
      <c r="D49" s="15">
        <f>C39*C38</f>
        <v>48.5</v>
      </c>
      <c r="E49" t="str">
        <f ca="1">_xlfn.FORMULATEXT(D49)</f>
        <v>=C39*C38</v>
      </c>
    </row>
    <row r="52" spans="2:5" ht="17.399999999999999">
      <c r="B52" s="14" t="s">
        <v>92</v>
      </c>
      <c r="C52" s="7"/>
      <c r="D52" s="7"/>
    </row>
    <row r="53" spans="2:5" ht="17.399999999999999">
      <c r="B53" s="14" t="s">
        <v>27</v>
      </c>
      <c r="C53" s="14"/>
      <c r="D53" s="14" t="s">
        <v>28</v>
      </c>
    </row>
    <row r="54" spans="2:5">
      <c r="D54" s="15">
        <f>MAX(D47-$C$41,0)</f>
        <v>5.0000000000000071</v>
      </c>
      <c r="E54" t="str">
        <f ca="1">_xlfn.FORMULATEXT(D54)</f>
        <v>=MAX(D47-$C$41,0)</v>
      </c>
    </row>
    <row r="55" spans="2:5">
      <c r="B55" s="16" t="s">
        <v>30</v>
      </c>
      <c r="D55" s="11"/>
    </row>
    <row r="56" spans="2:5">
      <c r="D56" s="15">
        <f>MAX(D49-$C$41,0)</f>
        <v>0</v>
      </c>
      <c r="E56" t="str">
        <f ca="1">_xlfn.FORMULATEXT(D56)</f>
        <v>=MAX(D49-$C$41,0)</v>
      </c>
    </row>
    <row r="58" spans="2:5" ht="17.399999999999999">
      <c r="B58" s="14" t="s">
        <v>93</v>
      </c>
      <c r="C58" s="7"/>
      <c r="D58" s="7"/>
    </row>
    <row r="59" spans="2:5" ht="17.399999999999999">
      <c r="B59" s="14" t="s">
        <v>27</v>
      </c>
      <c r="C59" s="14"/>
      <c r="D59" s="14" t="s">
        <v>28</v>
      </c>
    </row>
    <row r="60" spans="2:5">
      <c r="D60" s="15">
        <f>MAX(C41-D47,0)</f>
        <v>0</v>
      </c>
      <c r="E60" t="str">
        <f ca="1">_xlfn.FORMULATEXT(D60)</f>
        <v>=MAX(C41-D47,0)</v>
      </c>
    </row>
    <row r="61" spans="2:5">
      <c r="B61" s="16" t="s">
        <v>30</v>
      </c>
      <c r="D61" s="11"/>
    </row>
    <row r="62" spans="2:5">
      <c r="D62" s="15">
        <f>MAX(C41-D49,0)</f>
        <v>1.5</v>
      </c>
      <c r="E62" t="str">
        <f ca="1">_xlfn.FORMULATEXT(D62)</f>
        <v>=MAX(C41-D49,0)</v>
      </c>
    </row>
    <row r="65" spans="2:4" ht="17.399999999999999">
      <c r="B65" s="14" t="s">
        <v>72</v>
      </c>
      <c r="C65" s="30">
        <f>(D54*C42+D56*C43)/C40</f>
        <v>3.2656023222061004</v>
      </c>
      <c r="D65" t="str">
        <f ca="1">_xlfn.FORMULATEXT(C65)</f>
        <v>=(D54*C42+D56*C43)/C40</v>
      </c>
    </row>
    <row r="66" spans="2:4" ht="17.399999999999999">
      <c r="B66" s="14" t="s">
        <v>94</v>
      </c>
      <c r="C66" s="30">
        <f>(D60*C42+D62*C43)/C40</f>
        <v>0.43541364296081275</v>
      </c>
      <c r="D66" t="str">
        <f ca="1">_xlfn.FORMULATEXT(C66)</f>
        <v>=(D60*C42+D62*C43)/C40</v>
      </c>
    </row>
    <row r="68" spans="2:4" ht="17.399999999999999">
      <c r="B68" s="14" t="s">
        <v>95</v>
      </c>
      <c r="C68" s="14"/>
    </row>
    <row r="69" spans="2:4" ht="19.8">
      <c r="B69" s="42" t="s">
        <v>96</v>
      </c>
      <c r="C69" s="30">
        <f>C65+C39/C40</f>
        <v>50.435413642960818</v>
      </c>
      <c r="D69" t="str">
        <f ca="1">_xlfn.FORMULATEXT(C69)</f>
        <v>=C65+C39/C40</v>
      </c>
    </row>
    <row r="70" spans="2:4" ht="17.399999999999999">
      <c r="B70" s="42" t="s">
        <v>97</v>
      </c>
      <c r="C70" s="30">
        <f>C66+C39</f>
        <v>50.43541364296081</v>
      </c>
      <c r="D70" t="str">
        <f ca="1">_xlfn.FORMULATEXT(C70)</f>
        <v>=C66+C39</v>
      </c>
    </row>
  </sheetData>
  <phoneticPr fontId="1" type="noConversion"/>
  <hyperlinks>
    <hyperlink ref="A1" location="目录!A1" display="back" xr:uid="{C4904EA4-34DF-43BD-B775-5C9808A00C4F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502-9C2C-4380-9345-2CC8BD784D3D}">
  <sheetPr codeName="Sheet7"/>
  <dimension ref="A1:E23"/>
  <sheetViews>
    <sheetView showGridLines="0" zoomScale="145" zoomScaleNormal="145" workbookViewId="0"/>
  </sheetViews>
  <sheetFormatPr defaultRowHeight="13.8"/>
  <cols>
    <col min="2" max="5" width="20.88671875" bestFit="1" customWidth="1"/>
  </cols>
  <sheetData>
    <row r="1" spans="1:5">
      <c r="A1" s="6" t="s">
        <v>3</v>
      </c>
    </row>
    <row r="2" spans="1:5" ht="32.4">
      <c r="B2" s="19" t="s">
        <v>98</v>
      </c>
      <c r="C2" s="9"/>
      <c r="D2" s="9"/>
      <c r="E2" s="9"/>
    </row>
    <row r="4" spans="1:5">
      <c r="B4" t="s">
        <v>99</v>
      </c>
    </row>
    <row r="6" spans="1:5">
      <c r="B6" t="s">
        <v>100</v>
      </c>
    </row>
    <row r="8" spans="1:5" ht="16.2">
      <c r="B8" t="s">
        <v>101</v>
      </c>
    </row>
    <row r="13" spans="1:5">
      <c r="B13" t="s">
        <v>102</v>
      </c>
    </row>
    <row r="20" spans="2:3" ht="16.2">
      <c r="B20" t="s">
        <v>103</v>
      </c>
    </row>
    <row r="22" spans="2:3">
      <c r="C22" t="s">
        <v>104</v>
      </c>
    </row>
    <row r="23" spans="2:3">
      <c r="C23" t="s">
        <v>105</v>
      </c>
    </row>
  </sheetData>
  <phoneticPr fontId="1" type="noConversion"/>
  <hyperlinks>
    <hyperlink ref="A1" location="目录!A1" display="back" xr:uid="{02E14195-ACB2-4800-9BAB-7B8DCA3BA1D4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B9714-9670-494B-8CA9-4BE09987D4B1}">
  <sheetPr codeName="Sheet8"/>
  <dimension ref="A1:G41"/>
  <sheetViews>
    <sheetView showGridLines="0" zoomScale="130" zoomScaleNormal="130" workbookViewId="0">
      <selection activeCell="A17" sqref="A17:XFD19"/>
    </sheetView>
  </sheetViews>
  <sheetFormatPr defaultRowHeight="13.8"/>
  <cols>
    <col min="2" max="2" width="25" customWidth="1"/>
    <col min="3" max="8" width="18.21875" customWidth="1"/>
    <col min="9" max="15" width="20.77734375" customWidth="1"/>
  </cols>
  <sheetData>
    <row r="1" spans="1:5">
      <c r="A1" s="6" t="s">
        <v>3</v>
      </c>
    </row>
    <row r="2" spans="1:5" ht="32.4">
      <c r="B2" s="19" t="s">
        <v>106</v>
      </c>
      <c r="C2" s="9"/>
      <c r="D2" s="9"/>
      <c r="E2" s="9"/>
    </row>
    <row r="4" spans="1:5" ht="19.8">
      <c r="B4" s="12" t="s">
        <v>21</v>
      </c>
      <c r="C4" s="13">
        <v>50</v>
      </c>
    </row>
    <row r="5" spans="1:5" ht="17.399999999999999">
      <c r="B5" s="12" t="s">
        <v>107</v>
      </c>
      <c r="C5" s="31">
        <v>0.1</v>
      </c>
    </row>
    <row r="6" spans="1:5" ht="17.399999999999999">
      <c r="B6" s="12" t="s">
        <v>108</v>
      </c>
      <c r="C6" s="32">
        <v>-0.03</v>
      </c>
    </row>
    <row r="7" spans="1:5" ht="17.399999999999999">
      <c r="B7" s="12" t="s">
        <v>109</v>
      </c>
      <c r="C7" s="32">
        <v>0.06</v>
      </c>
    </row>
    <row r="8" spans="1:5" ht="17.399999999999999">
      <c r="B8" s="12" t="s">
        <v>24</v>
      </c>
      <c r="C8" s="13">
        <v>50</v>
      </c>
    </row>
    <row r="9" spans="1:5" ht="17.399999999999999">
      <c r="B9" s="12" t="s">
        <v>110</v>
      </c>
      <c r="C9" s="29">
        <f>1+C5</f>
        <v>1.1000000000000001</v>
      </c>
    </row>
    <row r="10" spans="1:5" ht="17.399999999999999">
      <c r="B10" s="12" t="s">
        <v>111</v>
      </c>
      <c r="C10" s="29">
        <f>1+C6</f>
        <v>0.97</v>
      </c>
    </row>
    <row r="11" spans="1:5" ht="17.399999999999999">
      <c r="B11" s="12" t="s">
        <v>112</v>
      </c>
      <c r="C11" s="29">
        <f>1+C7</f>
        <v>1.06</v>
      </c>
    </row>
    <row r="12" spans="1:5" ht="19.8">
      <c r="B12" s="12" t="s">
        <v>113</v>
      </c>
      <c r="C12" s="29">
        <f>(C11-C10)/(C9-C10)</f>
        <v>0.69230769230769229</v>
      </c>
      <c r="E12" s="11"/>
    </row>
    <row r="13" spans="1:5" ht="19.8">
      <c r="B13" s="12" t="s">
        <v>114</v>
      </c>
      <c r="C13" s="29">
        <f>(C9-C11)/(C9-C10)</f>
        <v>0.30769230769230771</v>
      </c>
      <c r="E13" s="11"/>
    </row>
    <row r="14" spans="1:5" ht="19.8">
      <c r="B14" s="12" t="s">
        <v>115</v>
      </c>
      <c r="C14" s="30">
        <f>C12/C11</f>
        <v>0.65312046444121907</v>
      </c>
    </row>
    <row r="15" spans="1:5" ht="19.8">
      <c r="B15" s="12" t="s">
        <v>116</v>
      </c>
      <c r="C15" s="30">
        <f>C13/C11</f>
        <v>0.29027576197387517</v>
      </c>
    </row>
    <row r="17" spans="2:6" ht="19.8">
      <c r="B17" s="10" t="s">
        <v>117</v>
      </c>
    </row>
    <row r="18" spans="2:6" ht="17.399999999999999">
      <c r="B18" s="10" t="s">
        <v>118</v>
      </c>
    </row>
    <row r="19" spans="2:6" ht="19.8">
      <c r="B19" s="10" t="s">
        <v>119</v>
      </c>
    </row>
    <row r="22" spans="2:6" ht="17.399999999999999">
      <c r="B22" s="14" t="s">
        <v>120</v>
      </c>
      <c r="C22" s="7"/>
      <c r="D22" s="7"/>
      <c r="E22" s="7"/>
      <c r="F22" s="7"/>
    </row>
    <row r="23" spans="2:6" ht="19.8">
      <c r="B23" s="14" t="s">
        <v>27</v>
      </c>
      <c r="C23" s="14"/>
      <c r="D23" s="14" t="s">
        <v>28</v>
      </c>
      <c r="E23" s="14"/>
      <c r="F23" s="14" t="s">
        <v>121</v>
      </c>
    </row>
    <row r="24" spans="2:6">
      <c r="F24" s="36">
        <f>D25*$C$9</f>
        <v>60.500000000000014</v>
      </c>
    </row>
    <row r="25" spans="2:6">
      <c r="D25" s="34">
        <f>B27*C9</f>
        <v>55.000000000000007</v>
      </c>
      <c r="F25" s="33"/>
    </row>
    <row r="26" spans="2:6">
      <c r="D26" s="33"/>
      <c r="F26" s="36">
        <f>D25*$C$10</f>
        <v>53.350000000000009</v>
      </c>
    </row>
    <row r="27" spans="2:6">
      <c r="B27" s="40">
        <f>C4</f>
        <v>50</v>
      </c>
      <c r="D27" s="33"/>
      <c r="F27" s="33"/>
    </row>
    <row r="28" spans="2:6">
      <c r="D28" s="33"/>
      <c r="F28" s="36">
        <f>D29*$C$9</f>
        <v>53.35</v>
      </c>
    </row>
    <row r="29" spans="2:6">
      <c r="D29" s="34">
        <f>B27*C10</f>
        <v>48.5</v>
      </c>
      <c r="F29" s="33"/>
    </row>
    <row r="30" spans="2:6">
      <c r="F30" s="36">
        <f>D29*$C$10</f>
        <v>47.045000000000002</v>
      </c>
    </row>
    <row r="33" spans="2:7" ht="17.399999999999999">
      <c r="B33" s="14" t="s">
        <v>122</v>
      </c>
      <c r="C33" s="7"/>
      <c r="D33" s="7"/>
      <c r="E33" s="7"/>
      <c r="F33" s="7"/>
    </row>
    <row r="34" spans="2:7" ht="19.8">
      <c r="B34" s="14" t="s">
        <v>27</v>
      </c>
      <c r="C34" s="14"/>
      <c r="D34" s="14" t="s">
        <v>28</v>
      </c>
      <c r="E34" s="14"/>
      <c r="F34" s="14" t="s">
        <v>121</v>
      </c>
    </row>
    <row r="35" spans="2:7">
      <c r="F35" s="36">
        <f>MAX(F24-$C$8,0)</f>
        <v>10.500000000000014</v>
      </c>
      <c r="G35" t="str">
        <f ca="1">IFERROR(_xlfn.FORMULATEXT(F35),"")</f>
        <v>=MAX(F24-$C$8,0)</v>
      </c>
    </row>
    <row r="36" spans="2:7">
      <c r="D36" s="34">
        <f>F35*$C$14+F37*$C$15</f>
        <v>7.8301886792452935</v>
      </c>
      <c r="F36" s="33"/>
    </row>
    <row r="37" spans="2:7">
      <c r="D37" s="33"/>
      <c r="F37" s="36">
        <f>MAX(F26-$C$8,0)</f>
        <v>3.3500000000000085</v>
      </c>
      <c r="G37" t="str">
        <f ca="1">IFERROR(_xlfn.FORMULATEXT(F37),"")</f>
        <v>=MAX(F26-$C$8,0)</v>
      </c>
    </row>
    <row r="38" spans="2:7">
      <c r="B38" s="35">
        <f>D36*$C$14+D40*$C$15</f>
        <v>5.7491663524470225</v>
      </c>
      <c r="D38" s="33"/>
      <c r="F38" s="33"/>
    </row>
    <row r="39" spans="2:7">
      <c r="D39" s="33"/>
      <c r="F39" s="36">
        <f>MAX(F28-$C$8,0)</f>
        <v>3.3500000000000014</v>
      </c>
      <c r="G39" t="str">
        <f ca="1">IFERROR(_xlfn.FORMULATEXT(F39),"")</f>
        <v>=MAX(F28-$C$8,0)</v>
      </c>
    </row>
    <row r="40" spans="2:7">
      <c r="D40" s="34">
        <f>F39*$C$14+F41*$C$15</f>
        <v>2.1879535558780847</v>
      </c>
      <c r="F40" s="33"/>
    </row>
    <row r="41" spans="2:7">
      <c r="F41" s="36">
        <f>MAX(F30-$C$8,0)</f>
        <v>0</v>
      </c>
      <c r="G41" t="str">
        <f ca="1">IFERROR(_xlfn.FORMULATEXT(F41),"")</f>
        <v>=MAX(F30-$C$8,0)</v>
      </c>
    </row>
  </sheetData>
  <phoneticPr fontId="1" type="noConversion"/>
  <hyperlinks>
    <hyperlink ref="A1" location="目录!A1" display="back" xr:uid="{63C0CC81-4BE7-4BF9-9F2A-8DA07DDC6648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C80E-64EB-4F08-9BA4-26C048C04B3B}">
  <sheetPr codeName="Sheet9"/>
  <dimension ref="A1:H141"/>
  <sheetViews>
    <sheetView showGridLines="0" zoomScale="115" zoomScaleNormal="115" workbookViewId="0"/>
  </sheetViews>
  <sheetFormatPr defaultRowHeight="13.8" outlineLevelRow="1"/>
  <cols>
    <col min="1" max="1" width="5.33203125" bestFit="1" customWidth="1"/>
    <col min="2" max="2" width="25" customWidth="1"/>
    <col min="3" max="3" width="26.44140625" bestFit="1" customWidth="1"/>
    <col min="4" max="4" width="20.21875" bestFit="1" customWidth="1"/>
    <col min="5" max="5" width="22.21875" bestFit="1" customWidth="1"/>
    <col min="6" max="6" width="17.6640625" bestFit="1" customWidth="1"/>
    <col min="7" max="7" width="24.44140625" bestFit="1" customWidth="1"/>
    <col min="8" max="8" width="14.21875" customWidth="1"/>
  </cols>
  <sheetData>
    <row r="1" spans="1:7">
      <c r="A1" s="6" t="s">
        <v>3</v>
      </c>
    </row>
    <row r="2" spans="1:7" ht="32.4">
      <c r="B2" s="19" t="s">
        <v>123</v>
      </c>
      <c r="C2" s="9"/>
      <c r="D2" s="9"/>
      <c r="E2" s="9"/>
    </row>
    <row r="4" spans="1:7" ht="19.8">
      <c r="B4" s="12" t="s">
        <v>21</v>
      </c>
      <c r="C4" s="13">
        <v>50</v>
      </c>
      <c r="E4" s="12" t="s">
        <v>92</v>
      </c>
      <c r="F4" s="39">
        <f>SUM(_xlfn.ANCHORARRAY(H41))</f>
        <v>24.968096531152963</v>
      </c>
    </row>
    <row r="5" spans="1:7" ht="17.399999999999999">
      <c r="B5" s="12" t="s">
        <v>107</v>
      </c>
      <c r="C5" s="31">
        <v>0.1</v>
      </c>
      <c r="E5" s="12" t="s">
        <v>93</v>
      </c>
      <c r="F5" s="39">
        <f>F4+C8/(C12^C9)-C4</f>
        <v>4.0001752853839889E-3</v>
      </c>
      <c r="G5" t="str">
        <f ca="1">IFERROR(_xlfn.FORMULATEXT(F5),"")</f>
        <v>=F4+C8/(C12^C9)-C4</v>
      </c>
    </row>
    <row r="6" spans="1:7" ht="17.399999999999999">
      <c r="B6" s="12" t="s">
        <v>108</v>
      </c>
      <c r="C6" s="32">
        <v>-0.03</v>
      </c>
    </row>
    <row r="7" spans="1:7" ht="17.399999999999999">
      <c r="B7" s="12" t="s">
        <v>109</v>
      </c>
      <c r="C7" s="32">
        <v>0.06</v>
      </c>
    </row>
    <row r="8" spans="1:7" ht="17.399999999999999">
      <c r="B8" s="12" t="s">
        <v>24</v>
      </c>
      <c r="C8" s="13">
        <v>60</v>
      </c>
    </row>
    <row r="9" spans="1:7" ht="17.399999999999999">
      <c r="B9" s="12" t="s">
        <v>124</v>
      </c>
      <c r="C9" s="13">
        <v>15</v>
      </c>
    </row>
    <row r="10" spans="1:7" ht="17.399999999999999">
      <c r="B10" s="12" t="s">
        <v>110</v>
      </c>
      <c r="C10" s="29">
        <f>1+C5</f>
        <v>1.1000000000000001</v>
      </c>
    </row>
    <row r="11" spans="1:7" ht="17.399999999999999">
      <c r="B11" s="12" t="s">
        <v>111</v>
      </c>
      <c r="C11" s="29">
        <f>1+C6</f>
        <v>0.97</v>
      </c>
    </row>
    <row r="12" spans="1:7" ht="17.399999999999999">
      <c r="B12" s="12" t="s">
        <v>112</v>
      </c>
      <c r="C12" s="29">
        <f>1+C7</f>
        <v>1.06</v>
      </c>
    </row>
    <row r="13" spans="1:7" ht="19.8">
      <c r="B13" s="12" t="s">
        <v>113</v>
      </c>
      <c r="C13" s="29">
        <f>(C12-C11)/(C10-C11)</f>
        <v>0.69230769230769229</v>
      </c>
    </row>
    <row r="14" spans="1:7" ht="19.8">
      <c r="B14" s="12" t="s">
        <v>114</v>
      </c>
      <c r="C14" s="29">
        <f>(C10-C12)/(C10-C11)</f>
        <v>0.30769230769230771</v>
      </c>
    </row>
    <row r="15" spans="1:7" ht="19.8">
      <c r="B15" s="12" t="s">
        <v>115</v>
      </c>
      <c r="C15" s="30">
        <f>C13/C12</f>
        <v>0.65312046444121907</v>
      </c>
    </row>
    <row r="16" spans="1:7" ht="19.8">
      <c r="B16" s="12" t="s">
        <v>116</v>
      </c>
      <c r="C16" s="30">
        <f>C14/C12</f>
        <v>0.29027576197387517</v>
      </c>
    </row>
    <row r="21" spans="2:8" ht="17.399999999999999" outlineLevel="1">
      <c r="B21" s="14" t="s">
        <v>125</v>
      </c>
      <c r="C21" s="7"/>
      <c r="D21" s="7"/>
      <c r="E21" s="7"/>
      <c r="F21" s="7"/>
      <c r="G21" s="7"/>
      <c r="H21" s="7"/>
    </row>
    <row r="22" spans="2:8" ht="19.8" outlineLevel="1">
      <c r="B22" s="14" t="s">
        <v>27</v>
      </c>
      <c r="C22" s="14"/>
      <c r="D22" s="14" t="s">
        <v>28</v>
      </c>
      <c r="E22" s="14"/>
      <c r="F22" s="14" t="s">
        <v>121</v>
      </c>
      <c r="G22" s="14"/>
      <c r="H22" s="14" t="s">
        <v>126</v>
      </c>
    </row>
    <row r="23" spans="2:8" ht="16.2" outlineLevel="1">
      <c r="H23" s="36" t="s">
        <v>127</v>
      </c>
    </row>
    <row r="24" spans="2:8" ht="16.2" outlineLevel="1">
      <c r="F24" s="36" t="s">
        <v>128</v>
      </c>
    </row>
    <row r="25" spans="2:8" ht="16.2" outlineLevel="1">
      <c r="H25" s="36" t="s">
        <v>129</v>
      </c>
    </row>
    <row r="26" spans="2:8" ht="16.2" outlineLevel="1">
      <c r="D26" s="36" t="s">
        <v>80</v>
      </c>
    </row>
    <row r="27" spans="2:8" ht="16.2" outlineLevel="1">
      <c r="H27" s="36" t="s">
        <v>130</v>
      </c>
    </row>
    <row r="28" spans="2:8" ht="16.2" outlineLevel="1">
      <c r="F28" s="36" t="s">
        <v>131</v>
      </c>
    </row>
    <row r="29" spans="2:8" ht="16.2" outlineLevel="1">
      <c r="H29" s="36" t="s">
        <v>132</v>
      </c>
    </row>
    <row r="30" spans="2:8" outlineLevel="1">
      <c r="B30" s="35" t="s">
        <v>133</v>
      </c>
    </row>
    <row r="31" spans="2:8" ht="16.2" outlineLevel="1">
      <c r="H31" s="36" t="s">
        <v>134</v>
      </c>
    </row>
    <row r="32" spans="2:8" ht="16.2" outlineLevel="1">
      <c r="F32" s="36" t="s">
        <v>135</v>
      </c>
    </row>
    <row r="33" spans="2:8" ht="16.2" outlineLevel="1">
      <c r="H33" s="36" t="s">
        <v>136</v>
      </c>
    </row>
    <row r="34" spans="2:8" ht="16.2" outlineLevel="1">
      <c r="D34" s="36" t="s">
        <v>82</v>
      </c>
    </row>
    <row r="35" spans="2:8" ht="16.2" outlineLevel="1">
      <c r="H35" s="36" t="s">
        <v>137</v>
      </c>
    </row>
    <row r="36" spans="2:8" ht="16.2" outlineLevel="1">
      <c r="F36" s="36" t="s">
        <v>138</v>
      </c>
    </row>
    <row r="37" spans="2:8" ht="16.2" outlineLevel="1">
      <c r="H37" s="36" t="s">
        <v>139</v>
      </c>
    </row>
    <row r="40" spans="2:8" ht="19.8">
      <c r="B40" s="14" t="s">
        <v>140</v>
      </c>
      <c r="C40" s="14" t="s">
        <v>141</v>
      </c>
      <c r="D40" s="14" t="s">
        <v>142</v>
      </c>
      <c r="E40" s="14" t="s">
        <v>143</v>
      </c>
      <c r="F40" s="14" t="s">
        <v>144</v>
      </c>
      <c r="G40" s="14" t="s">
        <v>145</v>
      </c>
      <c r="H40" s="14" t="s">
        <v>146</v>
      </c>
    </row>
    <row r="41" spans="2:8">
      <c r="B41" s="33" cm="1">
        <f t="array" ref="B41:B56">_xlfn.SEQUENCE(C9+1,1,C9,-1)</f>
        <v>15</v>
      </c>
      <c r="C41" s="41" cm="1">
        <f t="array" ref="C41:C56">C9-_xlfn.ANCHORARRAY(B41)</f>
        <v>0</v>
      </c>
      <c r="D41" s="38" cm="1">
        <f t="array" ref="D41:D56">$C$4*($C$10^_xlfn.ANCHORARRAY(B41))*($C$11^_xlfn.ANCHORARRAY(C41))</f>
        <v>208.86240847078278</v>
      </c>
      <c r="E41" s="38" cm="1">
        <f t="array" ref="E41:E56">_xlfn.BYROW(_xlfn.ANCHORARRAY(D41)-$C$8,_xlfn.LAMBDA(_xlpm.r,MAX(_xlpm.r,0)))</f>
        <v>148.86240847078278</v>
      </c>
      <c r="F41" s="37" cm="1">
        <f t="array" ref="F41:F56">(C15^_xlfn.ANCHORARRAY(B41))*(C16^_xlfn.ANCHORARRAY(C41))</f>
        <v>1.6784150999325663E-3</v>
      </c>
      <c r="G41" s="33" cm="1">
        <f t="array" ref="G41:G56">COMBIN(C9,_xlfn.ANCHORARRAY(B41))</f>
        <v>1</v>
      </c>
      <c r="H41" s="37" cm="1">
        <f t="array" ref="H41:H56">_xlfn.ANCHORARRAY(E41)*_xlfn.ANCHORARRAY(F41)*_xlfn.ANCHORARRAY(G41)</f>
        <v>0.24985291418969138</v>
      </c>
    </row>
    <row r="42" spans="2:8">
      <c r="B42" s="33">
        <v>14</v>
      </c>
      <c r="C42" s="41">
        <v>1</v>
      </c>
      <c r="D42" s="38">
        <v>184.17866928787208</v>
      </c>
      <c r="E42" s="38">
        <v>124.17866928787208</v>
      </c>
      <c r="F42" s="37">
        <v>7.459622666366962E-4</v>
      </c>
      <c r="G42" s="33">
        <v>15</v>
      </c>
      <c r="H42" s="37">
        <v>1.3894890241486464</v>
      </c>
    </row>
    <row r="43" spans="2:8">
      <c r="B43" s="33">
        <v>13</v>
      </c>
      <c r="C43" s="41">
        <v>2</v>
      </c>
      <c r="D43" s="38">
        <v>162.41209928112352</v>
      </c>
      <c r="E43" s="38">
        <v>102.41209928112352</v>
      </c>
      <c r="F43" s="37">
        <v>3.3153878517186506E-4</v>
      </c>
      <c r="G43" s="33">
        <v>105</v>
      </c>
      <c r="H43" s="37">
        <v>3.5651262131692327</v>
      </c>
    </row>
    <row r="44" spans="2:8">
      <c r="B44" s="33">
        <v>12</v>
      </c>
      <c r="C44" s="41">
        <v>3</v>
      </c>
      <c r="D44" s="38">
        <v>143.21794209335437</v>
      </c>
      <c r="E44" s="38">
        <v>83.217942093354367</v>
      </c>
      <c r="F44" s="37">
        <v>1.4735057118749558E-4</v>
      </c>
      <c r="G44" s="33">
        <v>455.00000000000006</v>
      </c>
      <c r="H44" s="37">
        <v>5.5793061417291829</v>
      </c>
    </row>
    <row r="45" spans="2:8">
      <c r="B45" s="33">
        <v>11</v>
      </c>
      <c r="C45" s="41">
        <v>4</v>
      </c>
      <c r="D45" s="38">
        <v>126.29218530050341</v>
      </c>
      <c r="E45" s="38">
        <v>66.292185300503405</v>
      </c>
      <c r="F45" s="37">
        <v>6.5489142749998043E-5</v>
      </c>
      <c r="G45" s="33">
        <v>1365</v>
      </c>
      <c r="H45" s="37">
        <v>5.9260360973731956</v>
      </c>
    </row>
    <row r="46" spans="2:8">
      <c r="B46" s="33">
        <v>10</v>
      </c>
      <c r="C46" s="33">
        <v>5</v>
      </c>
      <c r="D46" s="38">
        <v>111.36674521953481</v>
      </c>
      <c r="E46" s="38">
        <v>51.366745219534806</v>
      </c>
      <c r="F46" s="37">
        <v>2.9106285666665801E-5</v>
      </c>
      <c r="G46" s="33">
        <v>3003</v>
      </c>
      <c r="H46" s="37">
        <v>4.4897707658602402</v>
      </c>
    </row>
    <row r="47" spans="2:8">
      <c r="B47" s="33">
        <v>9</v>
      </c>
      <c r="C47" s="33">
        <v>6</v>
      </c>
      <c r="D47" s="38">
        <v>98.205220784498863</v>
      </c>
      <c r="E47" s="38">
        <v>38.205220784498863</v>
      </c>
      <c r="F47" s="37">
        <v>1.293612696296258E-5</v>
      </c>
      <c r="G47" s="33">
        <v>5005</v>
      </c>
      <c r="H47" s="37">
        <v>2.4736090715150523</v>
      </c>
    </row>
    <row r="48" spans="2:8">
      <c r="B48" s="33">
        <v>8</v>
      </c>
      <c r="C48" s="33">
        <v>7</v>
      </c>
      <c r="D48" s="38">
        <v>86.599149237239899</v>
      </c>
      <c r="E48" s="38">
        <v>26.599149237239899</v>
      </c>
      <c r="F48" s="37">
        <v>5.7493897613167031E-6</v>
      </c>
      <c r="G48" s="33">
        <v>6434.9999999999991</v>
      </c>
      <c r="H48" s="37">
        <v>0.98409731888961238</v>
      </c>
    </row>
    <row r="49" spans="2:8">
      <c r="B49" s="33">
        <v>7</v>
      </c>
      <c r="C49" s="33">
        <v>8</v>
      </c>
      <c r="D49" s="38">
        <v>76.364704327384274</v>
      </c>
      <c r="E49" s="38">
        <v>16.364704327384274</v>
      </c>
      <c r="F49" s="37">
        <v>2.5552843383629795E-6</v>
      </c>
      <c r="G49" s="33">
        <v>6434.9999999999991</v>
      </c>
      <c r="H49" s="37">
        <v>0.26908900162955751</v>
      </c>
    </row>
    <row r="50" spans="2:8">
      <c r="B50" s="33">
        <v>6</v>
      </c>
      <c r="C50" s="33">
        <v>9</v>
      </c>
      <c r="D50" s="38">
        <v>67.339784725057029</v>
      </c>
      <c r="E50" s="38">
        <v>7.3397847250570294</v>
      </c>
      <c r="F50" s="37">
        <v>1.1356819281613243E-6</v>
      </c>
      <c r="G50" s="33">
        <v>5005</v>
      </c>
      <c r="H50" s="37">
        <v>4.1719982648553221E-2</v>
      </c>
    </row>
    <row r="51" spans="2:8">
      <c r="B51" s="33">
        <v>5</v>
      </c>
      <c r="C51" s="33">
        <v>10</v>
      </c>
      <c r="D51" s="38">
        <v>59.381446530277557</v>
      </c>
      <c r="E51" s="38">
        <v>0</v>
      </c>
      <c r="F51" s="37">
        <v>5.0474752362725525E-7</v>
      </c>
      <c r="G51" s="33">
        <v>3003</v>
      </c>
      <c r="H51" s="37">
        <v>0</v>
      </c>
    </row>
    <row r="52" spans="2:8">
      <c r="B52" s="33">
        <v>4</v>
      </c>
      <c r="C52" s="33">
        <v>11</v>
      </c>
      <c r="D52" s="38">
        <v>52.363639213062939</v>
      </c>
      <c r="E52" s="38">
        <v>0</v>
      </c>
      <c r="F52" s="37">
        <v>2.2433223272322462E-7</v>
      </c>
      <c r="G52" s="33">
        <v>1365</v>
      </c>
      <c r="H52" s="37">
        <v>0</v>
      </c>
    </row>
    <row r="53" spans="2:8">
      <c r="B53" s="33">
        <v>3</v>
      </c>
      <c r="C53" s="33">
        <v>12</v>
      </c>
      <c r="D53" s="38">
        <v>46.175209124246408</v>
      </c>
      <c r="E53" s="38">
        <v>0</v>
      </c>
      <c r="F53" s="37">
        <v>9.970321454365539E-8</v>
      </c>
      <c r="G53" s="33">
        <v>455.00000000000006</v>
      </c>
      <c r="H53" s="37">
        <v>0</v>
      </c>
    </row>
    <row r="54" spans="2:8">
      <c r="B54" s="33">
        <v>2</v>
      </c>
      <c r="C54" s="33">
        <v>13</v>
      </c>
      <c r="D54" s="38">
        <v>40.718138955017274</v>
      </c>
      <c r="E54" s="38">
        <v>0</v>
      </c>
      <c r="F54" s="37">
        <v>4.4312539797180184E-8</v>
      </c>
      <c r="G54" s="33">
        <v>105</v>
      </c>
      <c r="H54" s="37">
        <v>0</v>
      </c>
    </row>
    <row r="55" spans="2:8">
      <c r="B55" s="33">
        <v>1</v>
      </c>
      <c r="C55" s="33">
        <v>14</v>
      </c>
      <c r="D55" s="38">
        <v>35.905995260333412</v>
      </c>
      <c r="E55" s="38">
        <v>0</v>
      </c>
      <c r="F55" s="37">
        <v>1.9694462132080083E-8</v>
      </c>
      <c r="G55" s="33">
        <v>15</v>
      </c>
      <c r="H55" s="37">
        <v>0</v>
      </c>
    </row>
    <row r="56" spans="2:8">
      <c r="B56" s="33">
        <v>0</v>
      </c>
      <c r="C56" s="33">
        <v>15</v>
      </c>
      <c r="D56" s="38">
        <v>31.66255945683946</v>
      </c>
      <c r="E56" s="38">
        <v>0</v>
      </c>
      <c r="F56" s="37">
        <v>8.7530942809244815E-9</v>
      </c>
      <c r="G56" s="33">
        <v>1</v>
      </c>
      <c r="H56" s="37">
        <v>0</v>
      </c>
    </row>
    <row r="57" spans="2:8">
      <c r="B57" s="33"/>
      <c r="C57" s="33"/>
      <c r="D57" s="38"/>
      <c r="E57" s="38"/>
      <c r="F57" s="37"/>
      <c r="G57" s="33"/>
      <c r="H57" s="37"/>
    </row>
    <row r="58" spans="2:8">
      <c r="B58" s="33"/>
      <c r="C58" s="33"/>
      <c r="D58" s="38"/>
      <c r="E58" s="38"/>
      <c r="F58" s="37"/>
      <c r="G58" s="33"/>
      <c r="H58" s="37"/>
    </row>
    <row r="59" spans="2:8">
      <c r="B59" s="33"/>
      <c r="C59" s="33"/>
      <c r="D59" s="38"/>
      <c r="E59" s="38"/>
      <c r="F59" s="37"/>
      <c r="G59" s="33"/>
      <c r="H59" s="37"/>
    </row>
    <row r="60" spans="2:8">
      <c r="B60" s="33"/>
      <c r="C60" s="33"/>
      <c r="D60" s="38"/>
      <c r="E60" s="38"/>
      <c r="F60" s="37"/>
      <c r="G60" s="33"/>
      <c r="H60" s="37"/>
    </row>
    <row r="61" spans="2:8">
      <c r="B61" s="33"/>
      <c r="C61" s="33"/>
      <c r="D61" s="38"/>
      <c r="E61" s="38"/>
      <c r="F61" s="37"/>
      <c r="G61" s="33"/>
      <c r="H61" s="37"/>
    </row>
    <row r="62" spans="2:8">
      <c r="B62" s="33"/>
      <c r="C62" s="33"/>
      <c r="D62" s="38"/>
      <c r="E62" s="38"/>
      <c r="F62" s="37"/>
      <c r="G62" s="33"/>
      <c r="H62" s="37"/>
    </row>
    <row r="63" spans="2:8">
      <c r="B63" s="33"/>
      <c r="C63" s="33"/>
      <c r="D63" s="38"/>
      <c r="E63" s="38"/>
      <c r="F63" s="37"/>
      <c r="G63" s="33"/>
      <c r="H63" s="37"/>
    </row>
    <row r="64" spans="2:8">
      <c r="B64" s="33"/>
      <c r="C64" s="33"/>
      <c r="D64" s="38"/>
      <c r="E64" s="38"/>
      <c r="F64" s="37"/>
      <c r="G64" s="33"/>
      <c r="H64" s="37"/>
    </row>
    <row r="65" spans="2:8">
      <c r="B65" s="33"/>
      <c r="C65" s="33"/>
      <c r="D65" s="38"/>
      <c r="E65" s="38"/>
      <c r="F65" s="37"/>
      <c r="G65" s="33"/>
      <c r="H65" s="37"/>
    </row>
    <row r="66" spans="2:8">
      <c r="B66" s="33"/>
      <c r="C66" s="33"/>
      <c r="D66" s="38"/>
      <c r="E66" s="38"/>
      <c r="F66" s="37"/>
      <c r="G66" s="33"/>
      <c r="H66" s="37"/>
    </row>
    <row r="67" spans="2:8">
      <c r="B67" s="33"/>
      <c r="C67" s="33"/>
      <c r="D67" s="38"/>
      <c r="E67" s="38"/>
      <c r="F67" s="37"/>
      <c r="G67" s="33"/>
      <c r="H67" s="37"/>
    </row>
    <row r="68" spans="2:8">
      <c r="B68" s="33"/>
      <c r="C68" s="33"/>
      <c r="D68" s="38"/>
      <c r="E68" s="38"/>
      <c r="F68" s="37"/>
      <c r="G68" s="33"/>
      <c r="H68" s="37"/>
    </row>
    <row r="69" spans="2:8">
      <c r="B69" s="33"/>
      <c r="C69" s="33"/>
      <c r="D69" s="38"/>
      <c r="E69" s="38"/>
      <c r="F69" s="37"/>
      <c r="G69" s="33"/>
      <c r="H69" s="37"/>
    </row>
    <row r="70" spans="2:8">
      <c r="B70" s="33"/>
      <c r="C70" s="33"/>
      <c r="D70" s="38"/>
      <c r="E70" s="38"/>
      <c r="F70" s="37"/>
      <c r="G70" s="33"/>
      <c r="H70" s="37"/>
    </row>
    <row r="71" spans="2:8">
      <c r="B71" s="33"/>
      <c r="C71" s="33"/>
      <c r="D71" s="38"/>
      <c r="E71" s="38"/>
      <c r="F71" s="37"/>
      <c r="G71" s="33"/>
      <c r="H71" s="37"/>
    </row>
    <row r="72" spans="2:8">
      <c r="B72" s="33"/>
      <c r="C72" s="33"/>
      <c r="D72" s="38"/>
      <c r="E72" s="38"/>
      <c r="F72" s="37"/>
      <c r="G72" s="33"/>
      <c r="H72" s="37"/>
    </row>
    <row r="73" spans="2:8">
      <c r="B73" s="33"/>
      <c r="C73" s="33"/>
      <c r="D73" s="38"/>
      <c r="E73" s="38"/>
      <c r="F73" s="37"/>
      <c r="G73" s="33"/>
      <c r="H73" s="37"/>
    </row>
    <row r="74" spans="2:8">
      <c r="B74" s="33"/>
      <c r="C74" s="33"/>
      <c r="D74" s="38"/>
      <c r="E74" s="38"/>
      <c r="F74" s="37"/>
      <c r="G74" s="33"/>
      <c r="H74" s="37"/>
    </row>
    <row r="75" spans="2:8">
      <c r="B75" s="33"/>
      <c r="C75" s="33"/>
      <c r="D75" s="38"/>
      <c r="E75" s="38"/>
      <c r="F75" s="37"/>
      <c r="G75" s="33"/>
      <c r="H75" s="37"/>
    </row>
    <row r="76" spans="2:8">
      <c r="B76" s="33"/>
      <c r="C76" s="33"/>
      <c r="D76" s="38"/>
      <c r="E76" s="38"/>
      <c r="F76" s="37"/>
      <c r="G76" s="33"/>
      <c r="H76" s="37"/>
    </row>
    <row r="77" spans="2:8">
      <c r="B77" s="33"/>
      <c r="C77" s="33"/>
      <c r="D77" s="38"/>
      <c r="E77" s="38"/>
      <c r="F77" s="37"/>
      <c r="G77" s="33"/>
      <c r="H77" s="37"/>
    </row>
    <row r="78" spans="2:8">
      <c r="B78" s="33"/>
      <c r="C78" s="33"/>
      <c r="D78" s="38"/>
      <c r="E78" s="38"/>
      <c r="F78" s="37"/>
      <c r="G78" s="33"/>
      <c r="H78" s="37"/>
    </row>
    <row r="79" spans="2:8">
      <c r="B79" s="33"/>
      <c r="C79" s="33"/>
      <c r="D79" s="38"/>
      <c r="E79" s="38"/>
      <c r="F79" s="37"/>
      <c r="G79" s="33"/>
      <c r="H79" s="37"/>
    </row>
    <row r="80" spans="2:8">
      <c r="B80" s="33"/>
      <c r="C80" s="33"/>
      <c r="D80" s="38"/>
      <c r="E80" s="38"/>
      <c r="F80" s="37"/>
      <c r="G80" s="33"/>
      <c r="H80" s="37"/>
    </row>
    <row r="81" spans="2:8">
      <c r="B81" s="33"/>
      <c r="C81" s="33"/>
      <c r="D81" s="38"/>
      <c r="E81" s="38"/>
      <c r="F81" s="37"/>
      <c r="G81" s="33"/>
      <c r="H81" s="37"/>
    </row>
    <row r="82" spans="2:8">
      <c r="B82" s="33"/>
      <c r="C82" s="33"/>
      <c r="D82" s="38"/>
      <c r="E82" s="38"/>
      <c r="F82" s="37"/>
      <c r="G82" s="33"/>
      <c r="H82" s="37"/>
    </row>
    <row r="83" spans="2:8">
      <c r="B83" s="33"/>
      <c r="C83" s="33"/>
      <c r="D83" s="38"/>
      <c r="E83" s="38"/>
      <c r="F83" s="37"/>
      <c r="G83" s="33"/>
      <c r="H83" s="37"/>
    </row>
    <row r="84" spans="2:8">
      <c r="B84" s="33"/>
      <c r="C84" s="33"/>
      <c r="D84" s="38"/>
      <c r="E84" s="38"/>
      <c r="F84" s="37"/>
      <c r="G84" s="33"/>
      <c r="H84" s="37"/>
    </row>
    <row r="85" spans="2:8">
      <c r="B85" s="33"/>
      <c r="C85" s="33"/>
      <c r="D85" s="38"/>
      <c r="E85" s="38"/>
      <c r="F85" s="37"/>
      <c r="G85" s="33"/>
      <c r="H85" s="37"/>
    </row>
    <row r="86" spans="2:8">
      <c r="B86" s="33"/>
      <c r="C86" s="33"/>
      <c r="D86" s="38"/>
      <c r="E86" s="38"/>
      <c r="F86" s="37"/>
      <c r="G86" s="33"/>
      <c r="H86" s="37"/>
    </row>
    <row r="87" spans="2:8">
      <c r="B87" s="33"/>
      <c r="C87" s="33"/>
      <c r="D87" s="38"/>
      <c r="E87" s="38"/>
      <c r="F87" s="37"/>
      <c r="G87" s="33"/>
      <c r="H87" s="37"/>
    </row>
    <row r="88" spans="2:8">
      <c r="B88" s="33"/>
      <c r="C88" s="33"/>
      <c r="D88" s="38"/>
      <c r="E88" s="38"/>
      <c r="F88" s="37"/>
      <c r="G88" s="33"/>
      <c r="H88" s="37"/>
    </row>
    <row r="89" spans="2:8">
      <c r="B89" s="33"/>
      <c r="C89" s="33"/>
      <c r="D89" s="38"/>
      <c r="E89" s="38"/>
      <c r="F89" s="37"/>
      <c r="G89" s="33"/>
      <c r="H89" s="37"/>
    </row>
    <row r="90" spans="2:8">
      <c r="B90" s="33"/>
      <c r="C90" s="33"/>
      <c r="D90" s="38"/>
      <c r="E90" s="38"/>
      <c r="F90" s="37"/>
      <c r="G90" s="33"/>
      <c r="H90" s="37"/>
    </row>
    <row r="91" spans="2:8">
      <c r="B91" s="33"/>
      <c r="C91" s="33"/>
      <c r="D91" s="38"/>
      <c r="E91" s="38"/>
      <c r="F91" s="37"/>
      <c r="G91" s="33"/>
      <c r="H91" s="37"/>
    </row>
    <row r="92" spans="2:8">
      <c r="B92" s="33"/>
      <c r="C92" s="33"/>
      <c r="D92" s="38"/>
      <c r="E92" s="38"/>
      <c r="F92" s="37"/>
      <c r="G92" s="33"/>
      <c r="H92" s="37"/>
    </row>
    <row r="93" spans="2:8">
      <c r="B93" s="33"/>
      <c r="C93" s="33"/>
      <c r="D93" s="38"/>
      <c r="E93" s="38"/>
      <c r="F93" s="37"/>
      <c r="G93" s="33"/>
      <c r="H93" s="37"/>
    </row>
    <row r="94" spans="2:8">
      <c r="B94" s="33"/>
      <c r="C94" s="33"/>
      <c r="D94" s="38"/>
      <c r="E94" s="38"/>
      <c r="F94" s="37"/>
      <c r="G94" s="33"/>
      <c r="H94" s="37"/>
    </row>
    <row r="95" spans="2:8">
      <c r="B95" s="33"/>
      <c r="C95" s="33"/>
      <c r="D95" s="38"/>
      <c r="E95" s="38"/>
      <c r="F95" s="37"/>
      <c r="G95" s="33"/>
      <c r="H95" s="37"/>
    </row>
    <row r="96" spans="2:8">
      <c r="B96" s="33"/>
      <c r="C96" s="33"/>
      <c r="D96" s="38"/>
      <c r="E96" s="38"/>
      <c r="F96" s="37"/>
      <c r="G96" s="33"/>
      <c r="H96" s="37"/>
    </row>
    <row r="97" spans="2:8">
      <c r="B97" s="33"/>
      <c r="C97" s="33"/>
      <c r="D97" s="38"/>
      <c r="E97" s="38"/>
      <c r="F97" s="37"/>
      <c r="G97" s="33"/>
      <c r="H97" s="37"/>
    </row>
    <row r="98" spans="2:8">
      <c r="B98" s="33"/>
      <c r="C98" s="33"/>
      <c r="D98" s="38"/>
      <c r="E98" s="38"/>
      <c r="F98" s="37"/>
      <c r="G98" s="33"/>
      <c r="H98" s="37"/>
    </row>
    <row r="99" spans="2:8">
      <c r="B99" s="33"/>
      <c r="C99" s="33"/>
      <c r="D99" s="38"/>
      <c r="E99" s="38"/>
      <c r="F99" s="37"/>
      <c r="G99" s="33"/>
      <c r="H99" s="37"/>
    </row>
    <row r="100" spans="2:8">
      <c r="B100" s="33"/>
      <c r="C100" s="33"/>
      <c r="D100" s="38"/>
      <c r="E100" s="38"/>
      <c r="F100" s="37"/>
      <c r="G100" s="33"/>
      <c r="H100" s="37"/>
    </row>
    <row r="101" spans="2:8">
      <c r="B101" s="33"/>
      <c r="C101" s="33"/>
      <c r="D101" s="38"/>
      <c r="E101" s="38"/>
      <c r="F101" s="37"/>
      <c r="G101" s="33"/>
      <c r="H101" s="37"/>
    </row>
    <row r="102" spans="2:8">
      <c r="B102" s="33"/>
      <c r="C102" s="33"/>
      <c r="D102" s="38"/>
      <c r="E102" s="38"/>
      <c r="F102" s="37"/>
      <c r="G102" s="33"/>
      <c r="H102" s="37"/>
    </row>
    <row r="103" spans="2:8">
      <c r="B103" s="33"/>
      <c r="C103" s="33"/>
      <c r="D103" s="38"/>
      <c r="E103" s="38"/>
      <c r="F103" s="37"/>
      <c r="G103" s="33"/>
      <c r="H103" s="37"/>
    </row>
    <row r="104" spans="2:8">
      <c r="B104" s="33"/>
      <c r="C104" s="33"/>
      <c r="D104" s="38"/>
      <c r="E104" s="38"/>
      <c r="F104" s="37"/>
      <c r="G104" s="33"/>
      <c r="H104" s="37"/>
    </row>
    <row r="105" spans="2:8">
      <c r="B105" s="33"/>
      <c r="C105" s="33"/>
      <c r="D105" s="38"/>
      <c r="E105" s="38"/>
      <c r="F105" s="37"/>
      <c r="G105" s="33"/>
      <c r="H105" s="37"/>
    </row>
    <row r="106" spans="2:8">
      <c r="B106" s="33"/>
      <c r="C106" s="33"/>
      <c r="D106" s="38"/>
      <c r="E106" s="38"/>
      <c r="F106" s="37"/>
      <c r="G106" s="33"/>
      <c r="H106" s="37"/>
    </row>
    <row r="107" spans="2:8">
      <c r="B107" s="33"/>
      <c r="C107" s="33"/>
      <c r="D107" s="38"/>
      <c r="E107" s="38"/>
      <c r="F107" s="37"/>
      <c r="G107" s="33"/>
      <c r="H107" s="37"/>
    </row>
    <row r="108" spans="2:8">
      <c r="B108" s="33"/>
      <c r="C108" s="33"/>
      <c r="D108" s="38"/>
      <c r="E108" s="38"/>
      <c r="F108" s="37"/>
      <c r="G108" s="33"/>
      <c r="H108" s="37"/>
    </row>
    <row r="109" spans="2:8">
      <c r="B109" s="33"/>
      <c r="C109" s="33"/>
      <c r="D109" s="38"/>
      <c r="E109" s="38"/>
      <c r="F109" s="37"/>
      <c r="G109" s="33"/>
      <c r="H109" s="37"/>
    </row>
    <row r="110" spans="2:8">
      <c r="B110" s="33"/>
      <c r="C110" s="33"/>
      <c r="D110" s="38"/>
      <c r="E110" s="38"/>
      <c r="F110" s="37"/>
      <c r="G110" s="33"/>
      <c r="H110" s="37"/>
    </row>
    <row r="111" spans="2:8">
      <c r="B111" s="33"/>
      <c r="C111" s="33"/>
      <c r="D111" s="38"/>
      <c r="E111" s="38"/>
      <c r="F111" s="37"/>
      <c r="G111" s="33"/>
      <c r="H111" s="37"/>
    </row>
    <row r="112" spans="2:8">
      <c r="B112" s="33"/>
      <c r="C112" s="33"/>
      <c r="D112" s="38"/>
      <c r="E112" s="38"/>
      <c r="F112" s="37"/>
      <c r="G112" s="33"/>
      <c r="H112" s="37"/>
    </row>
    <row r="113" spans="2:8">
      <c r="B113" s="33"/>
      <c r="C113" s="33"/>
      <c r="D113" s="38"/>
      <c r="E113" s="38"/>
      <c r="F113" s="37"/>
      <c r="G113" s="33"/>
      <c r="H113" s="37"/>
    </row>
    <row r="114" spans="2:8">
      <c r="B114" s="33"/>
      <c r="C114" s="33"/>
      <c r="D114" s="38"/>
      <c r="E114" s="38"/>
      <c r="F114" s="37"/>
      <c r="G114" s="33"/>
      <c r="H114" s="37"/>
    </row>
    <row r="115" spans="2:8">
      <c r="B115" s="33"/>
      <c r="C115" s="33"/>
      <c r="D115" s="38"/>
      <c r="E115" s="38"/>
      <c r="F115" s="37"/>
      <c r="G115" s="33"/>
      <c r="H115" s="37"/>
    </row>
    <row r="116" spans="2:8">
      <c r="B116" s="33"/>
      <c r="C116" s="33"/>
      <c r="D116" s="38"/>
      <c r="E116" s="38"/>
      <c r="F116" s="37"/>
      <c r="G116" s="33"/>
      <c r="H116" s="37"/>
    </row>
    <row r="117" spans="2:8">
      <c r="B117" s="33"/>
      <c r="C117" s="33"/>
      <c r="D117" s="38"/>
      <c r="E117" s="38"/>
      <c r="F117" s="37"/>
      <c r="G117" s="33"/>
      <c r="H117" s="37"/>
    </row>
    <row r="118" spans="2:8">
      <c r="B118" s="33"/>
      <c r="C118" s="33"/>
      <c r="D118" s="38"/>
      <c r="E118" s="38"/>
      <c r="F118" s="37"/>
      <c r="G118" s="33"/>
      <c r="H118" s="37"/>
    </row>
    <row r="119" spans="2:8">
      <c r="B119" s="33"/>
      <c r="C119" s="33"/>
      <c r="D119" s="38"/>
      <c r="E119" s="38"/>
      <c r="F119" s="37"/>
      <c r="G119" s="33"/>
      <c r="H119" s="37"/>
    </row>
    <row r="120" spans="2:8">
      <c r="B120" s="33"/>
      <c r="C120" s="33"/>
      <c r="D120" s="38"/>
      <c r="E120" s="38"/>
      <c r="F120" s="37"/>
      <c r="G120" s="33"/>
      <c r="H120" s="37"/>
    </row>
    <row r="121" spans="2:8">
      <c r="B121" s="33"/>
      <c r="C121" s="33"/>
      <c r="D121" s="38"/>
      <c r="E121" s="38"/>
      <c r="F121" s="37"/>
      <c r="G121" s="33"/>
      <c r="H121" s="37"/>
    </row>
    <row r="122" spans="2:8">
      <c r="B122" s="33"/>
      <c r="C122" s="33"/>
      <c r="D122" s="38"/>
      <c r="E122" s="38"/>
      <c r="F122" s="37"/>
      <c r="G122" s="33"/>
      <c r="H122" s="37"/>
    </row>
    <row r="123" spans="2:8">
      <c r="B123" s="33"/>
      <c r="C123" s="33"/>
      <c r="D123" s="38"/>
      <c r="E123" s="38"/>
      <c r="F123" s="37"/>
      <c r="G123" s="33"/>
      <c r="H123" s="37"/>
    </row>
    <row r="124" spans="2:8">
      <c r="B124" s="33"/>
      <c r="C124" s="33"/>
      <c r="D124" s="38"/>
      <c r="E124" s="38"/>
      <c r="F124" s="37"/>
      <c r="G124" s="33"/>
      <c r="H124" s="37"/>
    </row>
    <row r="125" spans="2:8">
      <c r="B125" s="33"/>
      <c r="C125" s="33"/>
      <c r="D125" s="38"/>
      <c r="E125" s="38"/>
      <c r="F125" s="37"/>
      <c r="G125" s="33"/>
      <c r="H125" s="37"/>
    </row>
    <row r="126" spans="2:8">
      <c r="B126" s="33"/>
      <c r="C126" s="33"/>
      <c r="D126" s="38"/>
      <c r="E126" s="38"/>
      <c r="F126" s="37"/>
      <c r="G126" s="33"/>
      <c r="H126" s="37"/>
    </row>
    <row r="127" spans="2:8">
      <c r="B127" s="33"/>
      <c r="C127" s="33"/>
      <c r="D127" s="38"/>
      <c r="E127" s="38"/>
      <c r="F127" s="37"/>
      <c r="G127" s="33"/>
      <c r="H127" s="37"/>
    </row>
    <row r="128" spans="2:8">
      <c r="B128" s="33"/>
      <c r="C128" s="33"/>
      <c r="D128" s="38"/>
      <c r="E128" s="38"/>
      <c r="F128" s="37"/>
      <c r="G128" s="33"/>
      <c r="H128" s="37"/>
    </row>
    <row r="129" spans="2:8">
      <c r="B129" s="33"/>
      <c r="C129" s="33"/>
      <c r="D129" s="38"/>
      <c r="E129" s="38"/>
      <c r="F129" s="37"/>
      <c r="G129" s="33"/>
      <c r="H129" s="37"/>
    </row>
    <row r="130" spans="2:8">
      <c r="B130" s="33"/>
      <c r="C130" s="33"/>
      <c r="D130" s="38"/>
      <c r="E130" s="38"/>
      <c r="F130" s="37"/>
      <c r="G130" s="33"/>
      <c r="H130" s="37"/>
    </row>
    <row r="131" spans="2:8">
      <c r="B131" s="33"/>
      <c r="C131" s="33"/>
      <c r="D131" s="38"/>
      <c r="E131" s="38"/>
      <c r="F131" s="37"/>
      <c r="G131" s="33"/>
      <c r="H131" s="37"/>
    </row>
    <row r="132" spans="2:8">
      <c r="B132" s="33"/>
      <c r="C132" s="33"/>
      <c r="D132" s="38"/>
      <c r="E132" s="38"/>
      <c r="F132" s="37"/>
      <c r="G132" s="33"/>
      <c r="H132" s="37"/>
    </row>
    <row r="133" spans="2:8">
      <c r="B133" s="33"/>
      <c r="C133" s="33"/>
      <c r="D133" s="38"/>
      <c r="E133" s="38"/>
      <c r="F133" s="37"/>
      <c r="G133" s="33"/>
      <c r="H133" s="37"/>
    </row>
    <row r="134" spans="2:8">
      <c r="B134" s="33"/>
      <c r="C134" s="33"/>
      <c r="D134" s="38"/>
      <c r="E134" s="38"/>
      <c r="F134" s="37"/>
      <c r="G134" s="33"/>
      <c r="H134" s="37"/>
    </row>
    <row r="135" spans="2:8">
      <c r="B135" s="33"/>
      <c r="C135" s="33"/>
      <c r="D135" s="38"/>
      <c r="E135" s="38"/>
      <c r="F135" s="37"/>
      <c r="G135" s="33"/>
      <c r="H135" s="37"/>
    </row>
    <row r="136" spans="2:8">
      <c r="B136" s="33"/>
      <c r="C136" s="33"/>
      <c r="D136" s="38"/>
      <c r="E136" s="38"/>
      <c r="F136" s="37"/>
      <c r="G136" s="33"/>
      <c r="H136" s="37"/>
    </row>
    <row r="137" spans="2:8">
      <c r="B137" s="33"/>
      <c r="C137" s="33"/>
      <c r="D137" s="38"/>
      <c r="E137" s="38"/>
      <c r="F137" s="37"/>
      <c r="G137" s="33"/>
      <c r="H137" s="37"/>
    </row>
    <row r="138" spans="2:8">
      <c r="B138" s="33"/>
      <c r="C138" s="33"/>
      <c r="D138" s="38"/>
      <c r="E138" s="38"/>
      <c r="F138" s="37"/>
      <c r="G138" s="33"/>
      <c r="H138" s="37"/>
    </row>
    <row r="139" spans="2:8">
      <c r="B139" s="33"/>
      <c r="C139" s="33"/>
      <c r="D139" s="38"/>
      <c r="E139" s="38"/>
      <c r="F139" s="37"/>
      <c r="G139" s="33"/>
      <c r="H139" s="37"/>
    </row>
    <row r="140" spans="2:8">
      <c r="B140" s="33"/>
      <c r="C140" s="33"/>
      <c r="D140" s="38"/>
      <c r="E140" s="38"/>
      <c r="F140" s="37"/>
      <c r="G140" s="33"/>
      <c r="H140" s="37"/>
    </row>
    <row r="141" spans="2:8">
      <c r="B141" s="33"/>
      <c r="C141" s="33"/>
      <c r="D141" s="38"/>
      <c r="E141" s="38"/>
      <c r="F141" s="37"/>
      <c r="G141" s="33"/>
      <c r="H141" s="37"/>
    </row>
  </sheetData>
  <phoneticPr fontId="1" type="noConversion"/>
  <conditionalFormatting sqref="B41:H141">
    <cfRule type="expression" dxfId="2" priority="1">
      <formula>IF(B41&lt;&gt;"",TRUE,FALSE)</formula>
    </cfRule>
  </conditionalFormatting>
  <hyperlinks>
    <hyperlink ref="A1" location="目录!A1" display="back" xr:uid="{CD57C8CF-7C69-47F0-ADCB-B37620F287AB}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7F4E-679A-43E0-9EF1-5045BC4B169A}">
  <sheetPr codeName="Sheet10"/>
  <dimension ref="A1:H141"/>
  <sheetViews>
    <sheetView showGridLines="0" topLeftCell="A12" zoomScaleNormal="100" workbookViewId="0"/>
  </sheetViews>
  <sheetFormatPr defaultRowHeight="13.8" outlineLevelRow="1"/>
  <cols>
    <col min="2" max="2" width="25" customWidth="1"/>
    <col min="3" max="3" width="26.44140625" bestFit="1" customWidth="1"/>
    <col min="4" max="4" width="20.21875" bestFit="1" customWidth="1"/>
    <col min="5" max="5" width="22.21875" bestFit="1" customWidth="1"/>
    <col min="6" max="6" width="17.6640625" bestFit="1" customWidth="1"/>
    <col min="7" max="7" width="24.44140625" bestFit="1" customWidth="1"/>
    <col min="8" max="8" width="14.21875" customWidth="1"/>
  </cols>
  <sheetData>
    <row r="1" spans="1:7">
      <c r="A1" s="6" t="s">
        <v>3</v>
      </c>
    </row>
    <row r="2" spans="1:7" ht="32.4">
      <c r="B2" s="43" t="s">
        <v>149</v>
      </c>
      <c r="C2" s="9"/>
      <c r="D2" s="9"/>
      <c r="E2" s="9"/>
    </row>
    <row r="4" spans="1:7" ht="19.8">
      <c r="B4" s="12" t="s">
        <v>21</v>
      </c>
      <c r="C4" s="13">
        <v>10</v>
      </c>
      <c r="E4" s="48" t="s">
        <v>147</v>
      </c>
      <c r="F4" s="12" t="s">
        <v>92</v>
      </c>
      <c r="G4" s="39">
        <f>SUM(_xlfn.ANCHORARRAY(H41))</f>
        <v>0</v>
      </c>
    </row>
    <row r="5" spans="1:7" ht="17.399999999999999">
      <c r="B5" s="12" t="s">
        <v>107</v>
      </c>
      <c r="C5" s="31">
        <v>0.1</v>
      </c>
      <c r="E5" s="48"/>
      <c r="F5" s="12" t="s">
        <v>93</v>
      </c>
      <c r="G5" s="39">
        <f>G4+C8/(C12^C9)-C4</f>
        <v>40.3771569819381</v>
      </c>
    </row>
    <row r="6" spans="1:7" ht="17.399999999999999">
      <c r="B6" s="12" t="s">
        <v>108</v>
      </c>
      <c r="C6" s="32">
        <v>-0.03</v>
      </c>
    </row>
    <row r="7" spans="1:7" ht="17.399999999999999">
      <c r="B7" s="12" t="s">
        <v>109</v>
      </c>
      <c r="C7" s="32">
        <v>0.06</v>
      </c>
      <c r="E7" s="48" t="s">
        <v>148</v>
      </c>
      <c r="F7" s="12" t="s">
        <v>92</v>
      </c>
      <c r="G7" s="39" cm="1">
        <f t="array" ref="G7">binomal_european_call(C4,C5,C6,C7,C8,C9)</f>
        <v>0</v>
      </c>
    </row>
    <row r="8" spans="1:7" ht="17.399999999999999">
      <c r="B8" s="12" t="s">
        <v>24</v>
      </c>
      <c r="C8" s="13">
        <v>60</v>
      </c>
      <c r="E8" s="48"/>
      <c r="F8" s="12" t="s">
        <v>93</v>
      </c>
      <c r="G8" s="39" cm="1">
        <f t="array" ref="G8">binomial_european_put(C4,C5,C6,C7,C8,C9)</f>
        <v>40.377156981938107</v>
      </c>
    </row>
    <row r="9" spans="1:7" ht="17.399999999999999">
      <c r="B9" s="12" t="s">
        <v>124</v>
      </c>
      <c r="C9" s="13">
        <v>3</v>
      </c>
    </row>
    <row r="10" spans="1:7" ht="17.399999999999999">
      <c r="B10" s="12" t="s">
        <v>110</v>
      </c>
      <c r="C10" s="29">
        <f>1+C5</f>
        <v>1.1000000000000001</v>
      </c>
    </row>
    <row r="11" spans="1:7" ht="17.399999999999999">
      <c r="B11" s="12" t="s">
        <v>111</v>
      </c>
      <c r="C11" s="29">
        <f>1+C6</f>
        <v>0.97</v>
      </c>
    </row>
    <row r="12" spans="1:7" ht="17.399999999999999">
      <c r="B12" s="12" t="s">
        <v>112</v>
      </c>
      <c r="C12" s="29">
        <f>1+C7</f>
        <v>1.06</v>
      </c>
    </row>
    <row r="13" spans="1:7" ht="19.8">
      <c r="B13" s="12" t="s">
        <v>113</v>
      </c>
      <c r="C13" s="29">
        <f>(C12-C11)/(C10-C11)</f>
        <v>0.69230769230769229</v>
      </c>
    </row>
    <row r="14" spans="1:7" ht="19.8">
      <c r="B14" s="12" t="s">
        <v>114</v>
      </c>
      <c r="C14" s="29">
        <f>(C10-C12)/(C10-C11)</f>
        <v>0.30769230769230771</v>
      </c>
    </row>
    <row r="15" spans="1:7" ht="19.8">
      <c r="B15" s="12" t="s">
        <v>150</v>
      </c>
      <c r="C15" s="30">
        <f>C13/C12</f>
        <v>0.65312046444121907</v>
      </c>
    </row>
    <row r="16" spans="1:7" ht="19.8">
      <c r="B16" s="12" t="s">
        <v>151</v>
      </c>
      <c r="C16" s="30">
        <f>C14/C12</f>
        <v>0.29027576197387517</v>
      </c>
    </row>
    <row r="21" spans="2:8" ht="17.399999999999999" outlineLevel="1">
      <c r="B21" s="14" t="s">
        <v>125</v>
      </c>
      <c r="C21" s="7"/>
      <c r="D21" s="7"/>
      <c r="E21" s="7"/>
      <c r="F21" s="7"/>
      <c r="G21" s="7"/>
      <c r="H21" s="7"/>
    </row>
    <row r="22" spans="2:8" ht="19.8" outlineLevel="1">
      <c r="B22" s="14" t="s">
        <v>27</v>
      </c>
      <c r="C22" s="14"/>
      <c r="D22" s="14" t="s">
        <v>28</v>
      </c>
      <c r="E22" s="14"/>
      <c r="F22" s="14" t="s">
        <v>121</v>
      </c>
      <c r="G22" s="14"/>
      <c r="H22" s="14" t="s">
        <v>126</v>
      </c>
    </row>
    <row r="23" spans="2:8" ht="16.2" outlineLevel="1">
      <c r="H23" s="36" t="s">
        <v>127</v>
      </c>
    </row>
    <row r="24" spans="2:8" ht="16.2" outlineLevel="1">
      <c r="F24" s="36" t="s">
        <v>128</v>
      </c>
    </row>
    <row r="25" spans="2:8" ht="16.2" outlineLevel="1">
      <c r="H25" s="36" t="s">
        <v>129</v>
      </c>
    </row>
    <row r="26" spans="2:8" ht="16.2" outlineLevel="1">
      <c r="D26" s="36" t="s">
        <v>80</v>
      </c>
    </row>
    <row r="27" spans="2:8" ht="16.2" outlineLevel="1">
      <c r="H27" s="36" t="s">
        <v>130</v>
      </c>
    </row>
    <row r="28" spans="2:8" ht="16.2" outlineLevel="1">
      <c r="F28" s="36" t="s">
        <v>131</v>
      </c>
    </row>
    <row r="29" spans="2:8" ht="16.2" outlineLevel="1">
      <c r="H29" s="36" t="s">
        <v>132</v>
      </c>
    </row>
    <row r="30" spans="2:8" outlineLevel="1">
      <c r="B30" s="35" t="s">
        <v>133</v>
      </c>
    </row>
    <row r="31" spans="2:8" ht="16.2" outlineLevel="1">
      <c r="H31" s="36" t="s">
        <v>134</v>
      </c>
    </row>
    <row r="32" spans="2:8" ht="16.2" outlineLevel="1">
      <c r="F32" s="36" t="s">
        <v>135</v>
      </c>
    </row>
    <row r="33" spans="2:8" ht="16.2" outlineLevel="1">
      <c r="H33" s="36" t="s">
        <v>136</v>
      </c>
    </row>
    <row r="34" spans="2:8" ht="16.2" outlineLevel="1">
      <c r="D34" s="36" t="s">
        <v>82</v>
      </c>
    </row>
    <row r="35" spans="2:8" ht="16.2" outlineLevel="1">
      <c r="H35" s="36" t="s">
        <v>137</v>
      </c>
    </row>
    <row r="36" spans="2:8" ht="16.2" outlineLevel="1">
      <c r="F36" s="36" t="s">
        <v>138</v>
      </c>
    </row>
    <row r="37" spans="2:8" ht="16.2" outlineLevel="1">
      <c r="H37" s="36" t="s">
        <v>139</v>
      </c>
    </row>
    <row r="40" spans="2:8" ht="19.8">
      <c r="B40" s="14" t="s">
        <v>140</v>
      </c>
      <c r="C40" s="14" t="s">
        <v>141</v>
      </c>
      <c r="D40" s="14" t="s">
        <v>142</v>
      </c>
      <c r="E40" s="14" t="s">
        <v>143</v>
      </c>
      <c r="F40" s="14" t="s">
        <v>144</v>
      </c>
      <c r="G40" s="14" t="s">
        <v>145</v>
      </c>
      <c r="H40" s="14" t="s">
        <v>146</v>
      </c>
    </row>
    <row r="41" spans="2:8">
      <c r="B41" s="33" cm="1">
        <f t="array" ref="B41:B44">_xlfn.SEQUENCE(C9+1,1,C9,-1)</f>
        <v>3</v>
      </c>
      <c r="C41" s="41" cm="1">
        <f t="array" ref="C41:C44">C9-_xlfn.ANCHORARRAY(B41)</f>
        <v>0</v>
      </c>
      <c r="D41" s="38" cm="1">
        <f t="array" ref="D41:D44">$C$4*($C$10^_xlfn.ANCHORARRAY(B41))*($C$11^_xlfn.ANCHORARRAY(C41))</f>
        <v>13.310000000000004</v>
      </c>
      <c r="E41" s="38" cm="1">
        <f t="array" ref="E41:E44">_xlfn.BYROW(_xlfn.ANCHORARRAY(D41)-$C$8,_xlfn.LAMBDA(_xlpm.r,MAX(_xlpm.r,0)))</f>
        <v>0</v>
      </c>
      <c r="F41" s="37" cm="1">
        <f t="array" ref="F41:F44">(C15^_xlfn.ANCHORARRAY(B41))*(C16^_xlfn.ANCHORARRAY(C41))</f>
        <v>0.27859920679587974</v>
      </c>
      <c r="G41" s="33" cm="1">
        <f t="array" ref="G41:G44">COMBIN(C9,_xlfn.ANCHORARRAY(B41))</f>
        <v>1</v>
      </c>
      <c r="H41" s="37" cm="1">
        <f t="array" ref="H41:H44">_xlfn.ANCHORARRAY(E41)*_xlfn.ANCHORARRAY(F41)*_xlfn.ANCHORARRAY(G41)</f>
        <v>0</v>
      </c>
    </row>
    <row r="42" spans="2:8">
      <c r="B42" s="33">
        <v>2</v>
      </c>
      <c r="C42" s="41">
        <v>1</v>
      </c>
      <c r="D42" s="38">
        <v>11.737000000000002</v>
      </c>
      <c r="E42" s="38">
        <v>0</v>
      </c>
      <c r="F42" s="37">
        <v>0.12382186968705768</v>
      </c>
      <c r="G42" s="33">
        <v>3</v>
      </c>
      <c r="H42" s="37">
        <v>0</v>
      </c>
    </row>
    <row r="43" spans="2:8">
      <c r="B43" s="33">
        <v>1</v>
      </c>
      <c r="C43" s="41">
        <v>2</v>
      </c>
      <c r="D43" s="38">
        <v>10.3499</v>
      </c>
      <c r="E43" s="38">
        <v>0</v>
      </c>
      <c r="F43" s="37">
        <v>5.5031942083136755E-2</v>
      </c>
      <c r="G43" s="33">
        <v>3</v>
      </c>
      <c r="H43" s="37">
        <v>0</v>
      </c>
    </row>
    <row r="44" spans="2:8">
      <c r="B44" s="33">
        <v>0</v>
      </c>
      <c r="C44" s="41">
        <v>3</v>
      </c>
      <c r="D44" s="38">
        <v>9.1267300000000002</v>
      </c>
      <c r="E44" s="38">
        <v>0</v>
      </c>
      <c r="F44" s="37">
        <v>2.4458640925838559E-2</v>
      </c>
      <c r="G44" s="33">
        <v>1</v>
      </c>
      <c r="H44" s="37">
        <v>0</v>
      </c>
    </row>
    <row r="45" spans="2:8">
      <c r="B45" s="33"/>
      <c r="C45" s="41"/>
      <c r="D45" s="38"/>
      <c r="E45" s="38"/>
      <c r="F45" s="37"/>
      <c r="G45" s="33"/>
      <c r="H45" s="37"/>
    </row>
    <row r="46" spans="2:8">
      <c r="B46" s="33"/>
      <c r="C46" s="33"/>
      <c r="D46" s="38"/>
      <c r="E46" s="38"/>
      <c r="F46" s="37"/>
      <c r="G46" s="33"/>
      <c r="H46" s="37"/>
    </row>
    <row r="47" spans="2:8">
      <c r="B47" s="33"/>
      <c r="C47" s="33"/>
      <c r="D47" s="38"/>
      <c r="E47" s="38"/>
      <c r="F47" s="37"/>
      <c r="G47" s="33"/>
      <c r="H47" s="37"/>
    </row>
    <row r="48" spans="2:8">
      <c r="B48" s="33"/>
      <c r="C48" s="33"/>
      <c r="D48" s="38"/>
      <c r="E48" s="38"/>
      <c r="F48" s="37"/>
      <c r="G48" s="33"/>
      <c r="H48" s="37"/>
    </row>
    <row r="49" spans="2:8">
      <c r="B49" s="33"/>
      <c r="C49" s="33"/>
      <c r="D49" s="38"/>
      <c r="E49" s="38"/>
      <c r="F49" s="37"/>
      <c r="G49" s="33"/>
      <c r="H49" s="37"/>
    </row>
    <row r="50" spans="2:8">
      <c r="B50" s="33"/>
      <c r="C50" s="33"/>
      <c r="D50" s="38"/>
      <c r="E50" s="38"/>
      <c r="F50" s="37"/>
      <c r="G50" s="33"/>
      <c r="H50" s="37"/>
    </row>
    <row r="51" spans="2:8">
      <c r="B51" s="33"/>
      <c r="C51" s="33"/>
      <c r="D51" s="38"/>
      <c r="E51" s="38"/>
      <c r="F51" s="37"/>
      <c r="G51" s="33"/>
      <c r="H51" s="37"/>
    </row>
    <row r="52" spans="2:8">
      <c r="B52" s="33"/>
      <c r="C52" s="33"/>
      <c r="D52" s="38"/>
      <c r="E52" s="38"/>
      <c r="F52" s="37"/>
      <c r="G52" s="33"/>
      <c r="H52" s="37"/>
    </row>
    <row r="53" spans="2:8">
      <c r="B53" s="33"/>
      <c r="C53" s="33"/>
      <c r="D53" s="38"/>
      <c r="E53" s="38"/>
      <c r="F53" s="37"/>
      <c r="G53" s="33"/>
      <c r="H53" s="37"/>
    </row>
    <row r="54" spans="2:8">
      <c r="B54" s="33"/>
      <c r="C54" s="33"/>
      <c r="D54" s="38"/>
      <c r="E54" s="38"/>
      <c r="F54" s="37"/>
      <c r="G54" s="33"/>
      <c r="H54" s="37"/>
    </row>
    <row r="55" spans="2:8">
      <c r="B55" s="33"/>
      <c r="C55" s="33"/>
      <c r="D55" s="38"/>
      <c r="E55" s="38"/>
      <c r="F55" s="37"/>
      <c r="G55" s="33"/>
      <c r="H55" s="37"/>
    </row>
    <row r="56" spans="2:8">
      <c r="B56" s="33"/>
      <c r="C56" s="33"/>
      <c r="D56" s="38"/>
      <c r="E56" s="38"/>
      <c r="F56" s="37"/>
      <c r="G56" s="33"/>
      <c r="H56" s="37"/>
    </row>
    <row r="57" spans="2:8">
      <c r="B57" s="33"/>
      <c r="C57" s="33"/>
      <c r="D57" s="38"/>
      <c r="E57" s="38"/>
      <c r="F57" s="37"/>
      <c r="G57" s="33"/>
      <c r="H57" s="37"/>
    </row>
    <row r="58" spans="2:8">
      <c r="B58" s="33"/>
      <c r="C58" s="33"/>
      <c r="D58" s="38"/>
      <c r="E58" s="38"/>
      <c r="F58" s="37"/>
      <c r="G58" s="33"/>
      <c r="H58" s="37"/>
    </row>
    <row r="59" spans="2:8">
      <c r="B59" s="33"/>
      <c r="C59" s="33"/>
      <c r="D59" s="38"/>
      <c r="E59" s="38"/>
      <c r="F59" s="37"/>
      <c r="G59" s="33"/>
      <c r="H59" s="37"/>
    </row>
    <row r="60" spans="2:8">
      <c r="C60" s="33"/>
      <c r="D60" s="38"/>
      <c r="E60" s="38"/>
      <c r="F60" s="37"/>
      <c r="G60" s="33"/>
      <c r="H60" s="37"/>
    </row>
    <row r="61" spans="2:8">
      <c r="B61" s="33"/>
      <c r="C61" s="33"/>
      <c r="D61" s="38"/>
      <c r="E61" s="38"/>
      <c r="F61" s="37"/>
      <c r="G61" s="33"/>
      <c r="H61" s="37"/>
    </row>
    <row r="62" spans="2:8">
      <c r="B62" s="33"/>
      <c r="C62" s="33"/>
      <c r="D62" s="38"/>
      <c r="E62" s="38"/>
      <c r="F62" s="37"/>
      <c r="G62" s="33"/>
      <c r="H62" s="37"/>
    </row>
    <row r="63" spans="2:8">
      <c r="B63" s="33"/>
      <c r="C63" s="33"/>
      <c r="D63" s="38"/>
      <c r="E63" s="38"/>
      <c r="F63" s="37"/>
      <c r="G63" s="33"/>
      <c r="H63" s="37"/>
    </row>
    <row r="64" spans="2:8">
      <c r="B64" s="33"/>
      <c r="C64" s="33"/>
      <c r="D64" s="38"/>
      <c r="E64" s="38"/>
      <c r="F64" s="37"/>
      <c r="G64" s="33"/>
      <c r="H64" s="37"/>
    </row>
    <row r="65" spans="2:8">
      <c r="B65" s="33"/>
      <c r="C65" s="33"/>
      <c r="D65" s="38"/>
      <c r="E65" s="38"/>
      <c r="F65" s="37"/>
      <c r="G65" s="33"/>
      <c r="H65" s="37"/>
    </row>
    <row r="66" spans="2:8">
      <c r="B66" s="33"/>
      <c r="C66" s="33"/>
      <c r="D66" s="38"/>
      <c r="E66" s="38"/>
      <c r="F66" s="37"/>
      <c r="G66" s="33"/>
      <c r="H66" s="37"/>
    </row>
    <row r="67" spans="2:8">
      <c r="B67" s="33"/>
      <c r="C67" s="33"/>
      <c r="D67" s="38"/>
      <c r="E67" s="38"/>
      <c r="F67" s="37"/>
      <c r="G67" s="33"/>
      <c r="H67" s="37"/>
    </row>
    <row r="68" spans="2:8">
      <c r="B68" s="33"/>
      <c r="C68" s="33"/>
      <c r="D68" s="38"/>
      <c r="E68" s="38"/>
      <c r="F68" s="37"/>
      <c r="G68" s="33"/>
      <c r="H68" s="37"/>
    </row>
    <row r="69" spans="2:8">
      <c r="B69" s="33"/>
      <c r="C69" s="33"/>
      <c r="D69" s="38"/>
      <c r="E69" s="38"/>
      <c r="F69" s="37"/>
      <c r="G69" s="33"/>
      <c r="H69" s="37"/>
    </row>
    <row r="70" spans="2:8">
      <c r="B70" s="33"/>
      <c r="C70" s="33"/>
      <c r="D70" s="38"/>
      <c r="E70" s="38"/>
      <c r="F70" s="37"/>
      <c r="G70" s="33"/>
      <c r="H70" s="37"/>
    </row>
    <row r="71" spans="2:8">
      <c r="B71" s="33"/>
      <c r="C71" s="33"/>
      <c r="D71" s="38"/>
      <c r="E71" s="38"/>
      <c r="F71" s="37"/>
      <c r="G71" s="33"/>
      <c r="H71" s="37"/>
    </row>
    <row r="72" spans="2:8">
      <c r="B72" s="33"/>
      <c r="C72" s="33"/>
      <c r="D72" s="38"/>
      <c r="E72" s="38"/>
      <c r="F72" s="37"/>
      <c r="G72" s="33"/>
      <c r="H72" s="37"/>
    </row>
    <row r="73" spans="2:8">
      <c r="B73" s="33"/>
      <c r="C73" s="33"/>
      <c r="D73" s="38"/>
      <c r="E73" s="38"/>
      <c r="F73" s="37"/>
      <c r="G73" s="33"/>
      <c r="H73" s="37"/>
    </row>
    <row r="74" spans="2:8">
      <c r="B74" s="33"/>
      <c r="C74" s="33"/>
      <c r="D74" s="38"/>
      <c r="E74" s="38"/>
      <c r="F74" s="37"/>
      <c r="G74" s="33"/>
      <c r="H74" s="37"/>
    </row>
    <row r="75" spans="2:8">
      <c r="B75" s="33"/>
      <c r="C75" s="33"/>
      <c r="D75" s="38"/>
      <c r="E75" s="38"/>
      <c r="F75" s="37"/>
      <c r="G75" s="33"/>
      <c r="H75" s="37"/>
    </row>
    <row r="76" spans="2:8">
      <c r="B76" s="33"/>
      <c r="C76" s="33"/>
      <c r="D76" s="38"/>
      <c r="E76" s="38"/>
      <c r="F76" s="37"/>
      <c r="G76" s="33"/>
      <c r="H76" s="37"/>
    </row>
    <row r="77" spans="2:8">
      <c r="B77" s="33"/>
      <c r="C77" s="33"/>
      <c r="D77" s="38"/>
      <c r="E77" s="38"/>
      <c r="F77" s="37"/>
      <c r="G77" s="33"/>
      <c r="H77" s="37"/>
    </row>
    <row r="78" spans="2:8">
      <c r="B78" s="33"/>
      <c r="C78" s="33"/>
      <c r="D78" s="38"/>
      <c r="E78" s="38"/>
      <c r="F78" s="37"/>
      <c r="G78" s="33"/>
      <c r="H78" s="37"/>
    </row>
    <row r="79" spans="2:8">
      <c r="B79" s="33"/>
      <c r="C79" s="33"/>
      <c r="D79" s="38"/>
      <c r="E79" s="38"/>
      <c r="F79" s="37"/>
      <c r="G79" s="33"/>
      <c r="H79" s="37"/>
    </row>
    <row r="80" spans="2:8">
      <c r="B80" s="33"/>
      <c r="C80" s="33"/>
      <c r="D80" s="38"/>
      <c r="E80" s="38"/>
      <c r="F80" s="37"/>
      <c r="G80" s="33"/>
      <c r="H80" s="37"/>
    </row>
    <row r="81" spans="2:8">
      <c r="B81" s="33"/>
      <c r="C81" s="33"/>
      <c r="D81" s="38"/>
      <c r="E81" s="38"/>
      <c r="F81" s="37"/>
      <c r="G81" s="33"/>
      <c r="H81" s="37"/>
    </row>
    <row r="82" spans="2:8">
      <c r="B82" s="33"/>
      <c r="C82" s="33"/>
      <c r="D82" s="38"/>
      <c r="E82" s="38"/>
      <c r="F82" s="37"/>
      <c r="G82" s="33"/>
      <c r="H82" s="37"/>
    </row>
    <row r="83" spans="2:8">
      <c r="B83" s="33"/>
      <c r="C83" s="33"/>
      <c r="D83" s="38"/>
      <c r="E83" s="38"/>
      <c r="F83" s="37"/>
      <c r="G83" s="33"/>
      <c r="H83" s="37"/>
    </row>
    <row r="84" spans="2:8">
      <c r="B84" s="33"/>
      <c r="C84" s="33"/>
      <c r="D84" s="38"/>
      <c r="E84" s="38"/>
      <c r="F84" s="37"/>
      <c r="G84" s="33"/>
      <c r="H84" s="37"/>
    </row>
    <row r="85" spans="2:8">
      <c r="B85" s="33"/>
      <c r="C85" s="33"/>
      <c r="D85" s="38"/>
      <c r="E85" s="38"/>
      <c r="F85" s="37"/>
      <c r="G85" s="33"/>
      <c r="H85" s="37"/>
    </row>
    <row r="86" spans="2:8">
      <c r="B86" s="33"/>
      <c r="C86" s="33"/>
      <c r="D86" s="38"/>
      <c r="E86" s="38"/>
      <c r="F86" s="37"/>
      <c r="G86" s="33"/>
      <c r="H86" s="37"/>
    </row>
    <row r="87" spans="2:8">
      <c r="B87" s="33"/>
      <c r="C87" s="33"/>
      <c r="D87" s="38"/>
      <c r="E87" s="38"/>
      <c r="F87" s="37"/>
      <c r="G87" s="33"/>
      <c r="H87" s="37"/>
    </row>
    <row r="88" spans="2:8">
      <c r="B88" s="33"/>
      <c r="C88" s="33"/>
      <c r="D88" s="38"/>
      <c r="E88" s="38"/>
      <c r="F88" s="37"/>
      <c r="G88" s="33"/>
      <c r="H88" s="37"/>
    </row>
    <row r="89" spans="2:8">
      <c r="B89" s="33"/>
      <c r="C89" s="33"/>
      <c r="D89" s="38"/>
      <c r="E89" s="38"/>
      <c r="F89" s="37"/>
      <c r="G89" s="33"/>
      <c r="H89" s="37"/>
    </row>
    <row r="90" spans="2:8">
      <c r="B90" s="33"/>
      <c r="C90" s="33"/>
      <c r="D90" s="38"/>
      <c r="E90" s="38"/>
      <c r="F90" s="37"/>
      <c r="G90" s="33"/>
      <c r="H90" s="37"/>
    </row>
    <row r="91" spans="2:8">
      <c r="B91" s="33"/>
      <c r="C91" s="33"/>
      <c r="D91" s="38"/>
      <c r="E91" s="38"/>
      <c r="F91" s="37"/>
      <c r="G91" s="33"/>
      <c r="H91" s="37"/>
    </row>
    <row r="92" spans="2:8">
      <c r="B92" s="33"/>
      <c r="C92" s="33"/>
      <c r="D92" s="38"/>
      <c r="E92" s="38"/>
      <c r="F92" s="37"/>
      <c r="G92" s="33"/>
      <c r="H92" s="37"/>
    </row>
    <row r="93" spans="2:8">
      <c r="B93" s="33"/>
      <c r="C93" s="33"/>
      <c r="D93" s="38"/>
      <c r="E93" s="38"/>
      <c r="F93" s="37"/>
      <c r="G93" s="33"/>
      <c r="H93" s="37"/>
    </row>
    <row r="94" spans="2:8">
      <c r="B94" s="33"/>
      <c r="C94" s="33"/>
      <c r="D94" s="38"/>
      <c r="E94" s="38"/>
      <c r="F94" s="37"/>
      <c r="G94" s="33"/>
      <c r="H94" s="37"/>
    </row>
    <row r="95" spans="2:8">
      <c r="B95" s="33"/>
      <c r="C95" s="33"/>
      <c r="D95" s="38"/>
      <c r="E95" s="38"/>
      <c r="F95" s="37"/>
      <c r="G95" s="33"/>
      <c r="H95" s="37"/>
    </row>
    <row r="96" spans="2:8">
      <c r="B96" s="33"/>
      <c r="C96" s="33"/>
      <c r="D96" s="38"/>
      <c r="E96" s="38"/>
      <c r="F96" s="37"/>
      <c r="G96" s="33"/>
      <c r="H96" s="37"/>
    </row>
    <row r="97" spans="2:8">
      <c r="B97" s="33"/>
      <c r="C97" s="33"/>
      <c r="D97" s="38"/>
      <c r="E97" s="38"/>
      <c r="F97" s="37"/>
      <c r="G97" s="33"/>
      <c r="H97" s="37"/>
    </row>
    <row r="98" spans="2:8">
      <c r="B98" s="33"/>
      <c r="C98" s="33"/>
      <c r="D98" s="38"/>
      <c r="E98" s="38"/>
      <c r="F98" s="37"/>
      <c r="G98" s="33"/>
      <c r="H98" s="37"/>
    </row>
    <row r="99" spans="2:8">
      <c r="B99" s="33"/>
      <c r="C99" s="33"/>
      <c r="D99" s="38"/>
      <c r="E99" s="38"/>
      <c r="F99" s="37"/>
      <c r="G99" s="33"/>
      <c r="H99" s="37"/>
    </row>
    <row r="100" spans="2:8">
      <c r="B100" s="33"/>
      <c r="C100" s="33"/>
      <c r="D100" s="38"/>
      <c r="E100" s="38"/>
      <c r="F100" s="37"/>
      <c r="G100" s="33"/>
      <c r="H100" s="37"/>
    </row>
    <row r="101" spans="2:8">
      <c r="B101" s="33"/>
      <c r="C101" s="33"/>
      <c r="D101" s="38"/>
      <c r="E101" s="38"/>
      <c r="F101" s="37"/>
      <c r="G101" s="33"/>
      <c r="H101" s="37"/>
    </row>
    <row r="102" spans="2:8">
      <c r="B102" s="33"/>
      <c r="C102" s="33"/>
      <c r="D102" s="38"/>
      <c r="E102" s="38"/>
      <c r="F102" s="37"/>
      <c r="G102" s="33"/>
      <c r="H102" s="37"/>
    </row>
    <row r="103" spans="2:8">
      <c r="B103" s="33"/>
      <c r="C103" s="33"/>
      <c r="D103" s="38"/>
      <c r="E103" s="38"/>
      <c r="F103" s="37"/>
      <c r="G103" s="33"/>
      <c r="H103" s="37"/>
    </row>
    <row r="104" spans="2:8">
      <c r="B104" s="33"/>
      <c r="C104" s="33"/>
      <c r="D104" s="38"/>
      <c r="E104" s="38"/>
      <c r="F104" s="37"/>
      <c r="G104" s="33"/>
      <c r="H104" s="37"/>
    </row>
    <row r="105" spans="2:8">
      <c r="B105" s="33"/>
      <c r="C105" s="33"/>
      <c r="D105" s="38"/>
      <c r="E105" s="38"/>
      <c r="F105" s="37"/>
      <c r="G105" s="33"/>
      <c r="H105" s="37"/>
    </row>
    <row r="106" spans="2:8">
      <c r="B106" s="33"/>
      <c r="C106" s="33"/>
      <c r="D106" s="38"/>
      <c r="E106" s="38"/>
      <c r="F106" s="37"/>
      <c r="G106" s="33"/>
      <c r="H106" s="37"/>
    </row>
    <row r="107" spans="2:8">
      <c r="B107" s="33"/>
      <c r="C107" s="33"/>
      <c r="D107" s="38"/>
      <c r="E107" s="38"/>
      <c r="F107" s="37"/>
      <c r="G107" s="33"/>
      <c r="H107" s="37"/>
    </row>
    <row r="108" spans="2:8">
      <c r="B108" s="33"/>
      <c r="C108" s="33"/>
      <c r="D108" s="38"/>
      <c r="E108" s="38"/>
      <c r="F108" s="37"/>
      <c r="G108" s="33"/>
      <c r="H108" s="37"/>
    </row>
    <row r="109" spans="2:8">
      <c r="B109" s="33"/>
      <c r="C109" s="33"/>
      <c r="D109" s="38"/>
      <c r="E109" s="38"/>
      <c r="F109" s="37"/>
      <c r="G109" s="33"/>
      <c r="H109" s="37"/>
    </row>
    <row r="110" spans="2:8">
      <c r="B110" s="33"/>
      <c r="C110" s="33"/>
      <c r="D110" s="38"/>
      <c r="E110" s="38"/>
      <c r="F110" s="37"/>
      <c r="G110" s="33"/>
      <c r="H110" s="37"/>
    </row>
    <row r="111" spans="2:8">
      <c r="B111" s="33"/>
      <c r="C111" s="33"/>
      <c r="D111" s="38"/>
      <c r="E111" s="38"/>
      <c r="F111" s="37"/>
      <c r="G111" s="33"/>
      <c r="H111" s="37"/>
    </row>
    <row r="112" spans="2:8">
      <c r="B112" s="33"/>
      <c r="C112" s="33"/>
      <c r="D112" s="38"/>
      <c r="E112" s="38"/>
      <c r="F112" s="37"/>
      <c r="G112" s="33"/>
      <c r="H112" s="37"/>
    </row>
    <row r="113" spans="2:8">
      <c r="B113" s="33"/>
      <c r="C113" s="33"/>
      <c r="D113" s="38"/>
      <c r="E113" s="38"/>
      <c r="F113" s="37"/>
      <c r="G113" s="33"/>
      <c r="H113" s="37"/>
    </row>
    <row r="114" spans="2:8">
      <c r="B114" s="33"/>
      <c r="C114" s="33"/>
      <c r="D114" s="38"/>
      <c r="E114" s="38"/>
      <c r="F114" s="37"/>
      <c r="G114" s="33"/>
      <c r="H114" s="37"/>
    </row>
    <row r="115" spans="2:8">
      <c r="B115" s="33"/>
      <c r="C115" s="33"/>
      <c r="D115" s="38"/>
      <c r="E115" s="38"/>
      <c r="F115" s="37"/>
      <c r="G115" s="33"/>
      <c r="H115" s="37"/>
    </row>
    <row r="116" spans="2:8">
      <c r="B116" s="33"/>
      <c r="C116" s="33"/>
      <c r="D116" s="38"/>
      <c r="E116" s="38"/>
      <c r="F116" s="37"/>
      <c r="G116" s="33"/>
      <c r="H116" s="37"/>
    </row>
    <row r="117" spans="2:8">
      <c r="B117" s="33"/>
      <c r="C117" s="33"/>
      <c r="D117" s="38"/>
      <c r="E117" s="38"/>
      <c r="F117" s="37"/>
      <c r="G117" s="33"/>
      <c r="H117" s="37"/>
    </row>
    <row r="118" spans="2:8">
      <c r="B118" s="33"/>
      <c r="C118" s="33"/>
      <c r="D118" s="38"/>
      <c r="E118" s="38"/>
      <c r="F118" s="37"/>
      <c r="G118" s="33"/>
      <c r="H118" s="37"/>
    </row>
    <row r="119" spans="2:8">
      <c r="B119" s="33"/>
      <c r="C119" s="33"/>
      <c r="D119" s="38"/>
      <c r="E119" s="38"/>
      <c r="F119" s="37"/>
      <c r="G119" s="33"/>
      <c r="H119" s="37"/>
    </row>
    <row r="120" spans="2:8">
      <c r="B120" s="33"/>
      <c r="C120" s="33"/>
      <c r="D120" s="38"/>
      <c r="E120" s="38"/>
      <c r="F120" s="37"/>
      <c r="G120" s="33"/>
      <c r="H120" s="37"/>
    </row>
    <row r="121" spans="2:8">
      <c r="B121" s="33"/>
      <c r="C121" s="33"/>
      <c r="D121" s="38"/>
      <c r="E121" s="38"/>
      <c r="F121" s="37"/>
      <c r="G121" s="33"/>
      <c r="H121" s="37"/>
    </row>
    <row r="122" spans="2:8">
      <c r="B122" s="33"/>
      <c r="C122" s="33"/>
      <c r="D122" s="38"/>
      <c r="E122" s="38"/>
      <c r="F122" s="37"/>
      <c r="G122" s="33"/>
      <c r="H122" s="37"/>
    </row>
    <row r="123" spans="2:8">
      <c r="B123" s="33"/>
      <c r="C123" s="33"/>
      <c r="D123" s="38"/>
      <c r="E123" s="38"/>
      <c r="F123" s="37"/>
      <c r="G123" s="33"/>
      <c r="H123" s="37"/>
    </row>
    <row r="124" spans="2:8">
      <c r="B124" s="33"/>
      <c r="C124" s="33"/>
      <c r="D124" s="38"/>
      <c r="E124" s="38"/>
      <c r="F124" s="37"/>
      <c r="G124" s="33"/>
      <c r="H124" s="37"/>
    </row>
    <row r="125" spans="2:8">
      <c r="B125" s="33"/>
      <c r="C125" s="33"/>
      <c r="D125" s="38"/>
      <c r="E125" s="38"/>
      <c r="F125" s="37"/>
      <c r="G125" s="33"/>
      <c r="H125" s="37"/>
    </row>
    <row r="126" spans="2:8">
      <c r="B126" s="33"/>
      <c r="C126" s="33"/>
      <c r="D126" s="38"/>
      <c r="E126" s="38"/>
      <c r="F126" s="37"/>
      <c r="G126" s="33"/>
      <c r="H126" s="37"/>
    </row>
    <row r="127" spans="2:8">
      <c r="B127" s="33"/>
      <c r="C127" s="33"/>
      <c r="D127" s="38"/>
      <c r="E127" s="38"/>
      <c r="F127" s="37"/>
      <c r="G127" s="33"/>
      <c r="H127" s="37"/>
    </row>
    <row r="128" spans="2:8">
      <c r="B128" s="33"/>
      <c r="C128" s="33"/>
      <c r="D128" s="38"/>
      <c r="E128" s="38"/>
      <c r="F128" s="37"/>
      <c r="G128" s="33"/>
      <c r="H128" s="37"/>
    </row>
    <row r="129" spans="2:8">
      <c r="B129" s="33"/>
      <c r="C129" s="33"/>
      <c r="D129" s="38"/>
      <c r="E129" s="38"/>
      <c r="F129" s="37"/>
      <c r="G129" s="33"/>
      <c r="H129" s="37"/>
    </row>
    <row r="130" spans="2:8">
      <c r="B130" s="33"/>
      <c r="C130" s="33"/>
      <c r="D130" s="38"/>
      <c r="E130" s="38"/>
      <c r="F130" s="37"/>
      <c r="G130" s="33"/>
      <c r="H130" s="37"/>
    </row>
    <row r="131" spans="2:8">
      <c r="B131" s="33"/>
      <c r="C131" s="33"/>
      <c r="D131" s="38"/>
      <c r="E131" s="38"/>
      <c r="F131" s="37"/>
      <c r="G131" s="33"/>
      <c r="H131" s="37"/>
    </row>
    <row r="132" spans="2:8">
      <c r="B132" s="33"/>
      <c r="C132" s="33"/>
      <c r="D132" s="38"/>
      <c r="E132" s="38"/>
      <c r="F132" s="37"/>
      <c r="G132" s="33"/>
      <c r="H132" s="37"/>
    </row>
    <row r="133" spans="2:8">
      <c r="B133" s="33"/>
      <c r="C133" s="33"/>
      <c r="D133" s="38"/>
      <c r="E133" s="38"/>
      <c r="F133" s="37"/>
      <c r="G133" s="33"/>
      <c r="H133" s="37"/>
    </row>
    <row r="134" spans="2:8">
      <c r="B134" s="33"/>
      <c r="C134" s="33"/>
      <c r="D134" s="38"/>
      <c r="E134" s="38"/>
      <c r="F134" s="37"/>
      <c r="G134" s="33"/>
      <c r="H134" s="37"/>
    </row>
    <row r="135" spans="2:8">
      <c r="B135" s="33"/>
      <c r="C135" s="33"/>
      <c r="D135" s="38"/>
      <c r="E135" s="38"/>
      <c r="F135" s="37"/>
      <c r="G135" s="33"/>
      <c r="H135" s="37"/>
    </row>
    <row r="136" spans="2:8">
      <c r="B136" s="33"/>
      <c r="C136" s="33"/>
      <c r="D136" s="38"/>
      <c r="E136" s="38"/>
      <c r="F136" s="37"/>
      <c r="G136" s="33"/>
      <c r="H136" s="37"/>
    </row>
    <row r="137" spans="2:8">
      <c r="B137" s="33"/>
      <c r="C137" s="33"/>
      <c r="D137" s="38"/>
      <c r="E137" s="38"/>
      <c r="F137" s="37"/>
      <c r="G137" s="33"/>
      <c r="H137" s="37"/>
    </row>
    <row r="138" spans="2:8">
      <c r="B138" s="33"/>
      <c r="C138" s="33"/>
      <c r="D138" s="38"/>
      <c r="E138" s="38"/>
      <c r="F138" s="37"/>
      <c r="G138" s="33"/>
      <c r="H138" s="37"/>
    </row>
    <row r="139" spans="2:8">
      <c r="B139" s="33"/>
      <c r="C139" s="33"/>
      <c r="D139" s="38"/>
      <c r="E139" s="38"/>
      <c r="F139" s="37"/>
      <c r="G139" s="33"/>
      <c r="H139" s="37"/>
    </row>
    <row r="140" spans="2:8">
      <c r="B140" s="33"/>
      <c r="C140" s="33"/>
      <c r="D140" s="38"/>
      <c r="E140" s="38"/>
      <c r="F140" s="37"/>
      <c r="G140" s="33"/>
      <c r="H140" s="37"/>
    </row>
    <row r="141" spans="2:8">
      <c r="B141" s="33"/>
      <c r="C141" s="33"/>
      <c r="D141" s="38"/>
      <c r="E141" s="38"/>
      <c r="F141" s="37"/>
      <c r="G141" s="33"/>
      <c r="H141" s="37"/>
    </row>
  </sheetData>
  <mergeCells count="2">
    <mergeCell ref="E4:E5"/>
    <mergeCell ref="E7:E8"/>
  </mergeCells>
  <phoneticPr fontId="1" type="noConversion"/>
  <conditionalFormatting sqref="B61:H141 C60:H60 B41:H59">
    <cfRule type="expression" dxfId="1" priority="1">
      <formula>IF(B41&lt;&gt;"",TRUE,FALSE)</formula>
    </cfRule>
  </conditionalFormatting>
  <hyperlinks>
    <hyperlink ref="A1" location="目录!A1" display="back" xr:uid="{EE739B04-F546-4541-8EAA-654DAFAA9AB3}"/>
  </hyperlink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FB4FF-362F-490B-83AC-56E7F171247C}">
  <sheetPr codeName="Sheet11"/>
  <dimension ref="A1:G37"/>
  <sheetViews>
    <sheetView showGridLines="0" zoomScale="130" zoomScaleNormal="130" workbookViewId="0"/>
  </sheetViews>
  <sheetFormatPr defaultRowHeight="13.8"/>
  <cols>
    <col min="2" max="2" width="28.33203125" customWidth="1"/>
    <col min="3" max="8" width="18.21875" customWidth="1"/>
    <col min="9" max="15" width="20.77734375" customWidth="1"/>
  </cols>
  <sheetData>
    <row r="1" spans="1:5">
      <c r="A1" s="6" t="s">
        <v>3</v>
      </c>
    </row>
    <row r="2" spans="1:5" ht="32.4">
      <c r="B2" s="19" t="s">
        <v>154</v>
      </c>
      <c r="C2" s="9"/>
      <c r="D2" s="9"/>
      <c r="E2" s="9"/>
    </row>
    <row r="4" spans="1:5" ht="19.8">
      <c r="B4" s="12" t="s">
        <v>21</v>
      </c>
      <c r="C4" s="13">
        <v>50</v>
      </c>
    </row>
    <row r="5" spans="1:5" ht="17.399999999999999">
      <c r="B5" s="12" t="s">
        <v>107</v>
      </c>
      <c r="C5" s="31">
        <v>0.1</v>
      </c>
    </row>
    <row r="6" spans="1:5" ht="17.399999999999999">
      <c r="B6" s="12" t="s">
        <v>108</v>
      </c>
      <c r="C6" s="32">
        <v>-0.03</v>
      </c>
    </row>
    <row r="7" spans="1:5" ht="17.399999999999999">
      <c r="B7" s="12" t="s">
        <v>109</v>
      </c>
      <c r="C7" s="32">
        <v>0.06</v>
      </c>
    </row>
    <row r="8" spans="1:5" ht="17.399999999999999">
      <c r="B8" s="12" t="s">
        <v>24</v>
      </c>
      <c r="C8" s="13">
        <v>50</v>
      </c>
    </row>
    <row r="9" spans="1:5" ht="17.399999999999999">
      <c r="B9" s="12" t="s">
        <v>110</v>
      </c>
      <c r="C9" s="29">
        <f>1+C5</f>
        <v>1.1000000000000001</v>
      </c>
    </row>
    <row r="10" spans="1:5" ht="17.399999999999999">
      <c r="B10" s="12" t="s">
        <v>111</v>
      </c>
      <c r="C10" s="29">
        <f>1+C6</f>
        <v>0.97</v>
      </c>
    </row>
    <row r="11" spans="1:5" ht="17.399999999999999">
      <c r="B11" s="12" t="s">
        <v>112</v>
      </c>
      <c r="C11" s="29">
        <f>1+C7</f>
        <v>1.06</v>
      </c>
    </row>
    <row r="12" spans="1:5" ht="19.8">
      <c r="B12" s="12" t="s">
        <v>113</v>
      </c>
      <c r="C12" s="29">
        <f>(C11-C10)/(C9-C10)</f>
        <v>0.69230769230769229</v>
      </c>
      <c r="E12" s="11"/>
    </row>
    <row r="13" spans="1:5" ht="19.8">
      <c r="B13" s="12" t="s">
        <v>114</v>
      </c>
      <c r="C13" s="29">
        <f>(C9-C11)/(C9-C10)</f>
        <v>0.30769230769230771</v>
      </c>
      <c r="E13" s="11"/>
    </row>
    <row r="14" spans="1:5" ht="19.8">
      <c r="B14" s="12" t="s">
        <v>150</v>
      </c>
      <c r="C14" s="30">
        <f>C12/C11</f>
        <v>0.65312046444121907</v>
      </c>
    </row>
    <row r="15" spans="1:5" ht="19.8">
      <c r="B15" s="12" t="s">
        <v>151</v>
      </c>
      <c r="C15" s="30">
        <f>C13/C11</f>
        <v>0.29027576197387517</v>
      </c>
    </row>
    <row r="18" spans="2:7" ht="17.399999999999999">
      <c r="B18" s="14" t="s">
        <v>120</v>
      </c>
      <c r="C18" s="7"/>
      <c r="D18" s="7"/>
      <c r="E18" s="7"/>
      <c r="F18" s="7"/>
    </row>
    <row r="19" spans="2:7" ht="19.8">
      <c r="B19" s="14" t="s">
        <v>27</v>
      </c>
      <c r="C19" s="14"/>
      <c r="D19" s="14" t="s">
        <v>28</v>
      </c>
      <c r="E19" s="14"/>
      <c r="F19" s="14" t="s">
        <v>121</v>
      </c>
    </row>
    <row r="20" spans="2:7">
      <c r="F20" s="36">
        <f>D21*U</f>
        <v>60.500000000000014</v>
      </c>
    </row>
    <row r="21" spans="2:7">
      <c r="D21" s="34">
        <f>B23*U</f>
        <v>55.000000000000007</v>
      </c>
      <c r="F21" s="33"/>
    </row>
    <row r="22" spans="2:7">
      <c r="D22" s="33"/>
      <c r="F22" s="36">
        <f>D21*D</f>
        <v>53.350000000000009</v>
      </c>
    </row>
    <row r="23" spans="2:7">
      <c r="B23" s="40">
        <f>C4</f>
        <v>50</v>
      </c>
      <c r="D23" s="33"/>
      <c r="F23" s="33"/>
    </row>
    <row r="24" spans="2:7">
      <c r="D24" s="33"/>
      <c r="F24" s="36">
        <f>D25*U</f>
        <v>53.35</v>
      </c>
    </row>
    <row r="25" spans="2:7">
      <c r="D25" s="34">
        <f>B23*D</f>
        <v>48.5</v>
      </c>
      <c r="F25" s="33"/>
    </row>
    <row r="26" spans="2:7">
      <c r="F26" s="36">
        <f>D25*D</f>
        <v>47.045000000000002</v>
      </c>
    </row>
    <row r="29" spans="2:7" ht="17.399999999999999">
      <c r="B29" s="14" t="s">
        <v>152</v>
      </c>
      <c r="C29" s="7"/>
      <c r="D29" s="7"/>
      <c r="E29" s="7"/>
      <c r="F29" s="7"/>
    </row>
    <row r="30" spans="2:7" ht="19.8">
      <c r="B30" s="14" t="s">
        <v>27</v>
      </c>
      <c r="C30" s="14"/>
      <c r="D30" s="14" t="s">
        <v>28</v>
      </c>
      <c r="E30" s="14"/>
      <c r="F30" s="14" t="s">
        <v>121</v>
      </c>
    </row>
    <row r="31" spans="2:7">
      <c r="F31" s="36">
        <f>MAX(X-F20,0)</f>
        <v>0</v>
      </c>
      <c r="G31" t="str">
        <f ca="1">IFERROR(_xlfn.FORMULATEXT(F31),"")</f>
        <v>=MAX(X-F20,0)</v>
      </c>
    </row>
    <row r="32" spans="2:7">
      <c r="D32" s="34">
        <f>MAX(MAX(X-D21,0),Su*F31+Sd*F33)</f>
        <v>0</v>
      </c>
      <c r="F32" s="33"/>
    </row>
    <row r="33" spans="2:7">
      <c r="D33" s="33"/>
      <c r="F33" s="36">
        <f>MAX(X-F22,0)</f>
        <v>0</v>
      </c>
      <c r="G33" t="str">
        <f ca="1">IFERROR(_xlfn.FORMULATEXT(F33),"")</f>
        <v>=MAX(X-F22,0)</v>
      </c>
    </row>
    <row r="34" spans="2:7">
      <c r="B34" s="35">
        <f>D32*$C$14+D36*$C$15</f>
        <v>0.43541364296081275</v>
      </c>
      <c r="D34" s="33"/>
      <c r="F34" s="33"/>
    </row>
    <row r="35" spans="2:7">
      <c r="D35" s="33"/>
      <c r="F35" s="36">
        <f>MAX(X-F24,0)</f>
        <v>0</v>
      </c>
      <c r="G35" t="str">
        <f ca="1">IFERROR(_xlfn.FORMULATEXT(F35),"")</f>
        <v>=MAX(X-F24,0)</v>
      </c>
    </row>
    <row r="36" spans="2:7">
      <c r="D36" s="34">
        <f>MAX(MAX(X-D25,0),Su*F35+Sd*F37)</f>
        <v>1.5</v>
      </c>
      <c r="F36" s="33"/>
    </row>
    <row r="37" spans="2:7">
      <c r="F37" s="36">
        <f>MAX(X-F26,0)</f>
        <v>2.9549999999999983</v>
      </c>
      <c r="G37" t="str">
        <f ca="1">IFERROR(_xlfn.FORMULATEXT(F37),"")</f>
        <v>=MAX(X-F26,0)</v>
      </c>
    </row>
  </sheetData>
  <phoneticPr fontId="1" type="noConversion"/>
  <hyperlinks>
    <hyperlink ref="A1" location="目录!A1" display="back" xr:uid="{DAC39420-D3C1-4FC7-B9D2-B9D196982C5B}"/>
  </hyperlink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99915-C796-4B82-A76F-9D0F2CCC0A84}">
  <sheetPr codeName="Sheet12"/>
  <dimension ref="A1:H103"/>
  <sheetViews>
    <sheetView showGridLines="0" zoomScale="130" zoomScaleNormal="130" workbookViewId="0"/>
  </sheetViews>
  <sheetFormatPr defaultRowHeight="13.8"/>
  <cols>
    <col min="2" max="2" width="25" customWidth="1"/>
    <col min="3" max="3" width="26.44140625" bestFit="1" customWidth="1"/>
    <col min="4" max="4" width="20.21875" bestFit="1" customWidth="1"/>
    <col min="5" max="5" width="22.21875" bestFit="1" customWidth="1"/>
    <col min="6" max="6" width="17.6640625" bestFit="1" customWidth="1"/>
    <col min="7" max="7" width="24.44140625" bestFit="1" customWidth="1"/>
    <col min="8" max="8" width="14.21875" customWidth="1"/>
  </cols>
  <sheetData>
    <row r="1" spans="1:7">
      <c r="A1" s="6" t="s">
        <v>3</v>
      </c>
    </row>
    <row r="2" spans="1:7" ht="32.4">
      <c r="B2" s="43" t="s">
        <v>153</v>
      </c>
      <c r="C2" s="9"/>
      <c r="D2" s="9"/>
      <c r="E2" s="9"/>
    </row>
    <row r="4" spans="1:7" ht="19.8">
      <c r="B4" s="12" t="s">
        <v>21</v>
      </c>
      <c r="C4" s="13">
        <v>3</v>
      </c>
      <c r="E4" s="48" t="s">
        <v>148</v>
      </c>
      <c r="F4" s="12" t="s">
        <v>92</v>
      </c>
      <c r="G4" s="39" cm="1">
        <f t="array" ref="G4">binomal_American_call(C4,C5,C6,C7,C8,C9)</f>
        <v>0</v>
      </c>
    </row>
    <row r="5" spans="1:7" ht="17.399999999999999">
      <c r="B5" s="12" t="s">
        <v>107</v>
      </c>
      <c r="C5" s="31">
        <v>0.1</v>
      </c>
      <c r="E5" s="48"/>
      <c r="F5" s="12" t="s">
        <v>93</v>
      </c>
      <c r="G5" s="39" cm="1">
        <f t="array" ref="G5">binomal_American_put(C4,C5,C6,C7,C8,C9)</f>
        <v>57</v>
      </c>
    </row>
    <row r="6" spans="1:7" ht="17.399999999999999">
      <c r="B6" s="12" t="s">
        <v>108</v>
      </c>
      <c r="C6" s="32">
        <v>-0.03</v>
      </c>
    </row>
    <row r="7" spans="1:7" ht="17.399999999999999">
      <c r="B7" s="12" t="s">
        <v>109</v>
      </c>
      <c r="C7" s="32">
        <v>0.06</v>
      </c>
    </row>
    <row r="8" spans="1:7" ht="17.399999999999999">
      <c r="B8" s="12" t="s">
        <v>24</v>
      </c>
      <c r="C8" s="13">
        <v>60</v>
      </c>
    </row>
    <row r="9" spans="1:7" ht="17.399999999999999">
      <c r="B9" s="12" t="s">
        <v>124</v>
      </c>
      <c r="C9" s="13">
        <v>10</v>
      </c>
    </row>
    <row r="10" spans="1:7" ht="17.399999999999999">
      <c r="B10" s="12" t="s">
        <v>110</v>
      </c>
      <c r="C10" s="29">
        <f>1+C5</f>
        <v>1.1000000000000001</v>
      </c>
    </row>
    <row r="11" spans="1:7" ht="17.399999999999999">
      <c r="B11" s="12" t="s">
        <v>111</v>
      </c>
      <c r="C11" s="29">
        <f>1+C6</f>
        <v>0.97</v>
      </c>
    </row>
    <row r="12" spans="1:7" ht="17.399999999999999">
      <c r="B12" s="12" t="s">
        <v>112</v>
      </c>
      <c r="C12" s="29">
        <f>1+C7</f>
        <v>1.06</v>
      </c>
    </row>
    <row r="13" spans="1:7" ht="19.8">
      <c r="B13" s="12" t="s">
        <v>113</v>
      </c>
      <c r="C13" s="29">
        <f>(C12-C11)/(C10-C11)</f>
        <v>0.69230769230769229</v>
      </c>
    </row>
    <row r="14" spans="1:7" ht="19.8">
      <c r="B14" s="12" t="s">
        <v>114</v>
      </c>
      <c r="C14" s="29">
        <f>(C10-C12)/(C10-C11)</f>
        <v>0.30769230769230771</v>
      </c>
    </row>
    <row r="15" spans="1:7" ht="19.8">
      <c r="B15" s="12" t="s">
        <v>150</v>
      </c>
      <c r="C15" s="30">
        <f>C13/C12</f>
        <v>0.65312046444121907</v>
      </c>
    </row>
    <row r="16" spans="1:7" ht="19.8">
      <c r="B16" s="12" t="s">
        <v>151</v>
      </c>
      <c r="C16" s="30">
        <f>C14/C12</f>
        <v>0.29027576197387517</v>
      </c>
    </row>
    <row r="22" spans="2:8">
      <c r="C22" s="33"/>
      <c r="D22" s="38"/>
      <c r="E22" s="38"/>
      <c r="F22" s="37"/>
      <c r="G22" s="33"/>
      <c r="H22" s="37"/>
    </row>
    <row r="23" spans="2:8">
      <c r="B23" s="33"/>
      <c r="C23" s="33"/>
      <c r="D23" s="38"/>
      <c r="E23" s="38"/>
      <c r="F23" s="37"/>
      <c r="G23" s="33"/>
      <c r="H23" s="37"/>
    </row>
    <row r="24" spans="2:8">
      <c r="B24" s="33"/>
      <c r="C24" s="33"/>
      <c r="D24" s="38"/>
      <c r="E24" s="38"/>
      <c r="F24" s="37"/>
      <c r="G24" s="33"/>
      <c r="H24" s="37"/>
    </row>
    <row r="25" spans="2:8">
      <c r="B25" s="33"/>
      <c r="C25" s="33"/>
      <c r="D25" s="38"/>
      <c r="E25" s="38"/>
      <c r="F25" s="37"/>
      <c r="G25" s="33"/>
      <c r="H25" s="37"/>
    </row>
    <row r="26" spans="2:8">
      <c r="B26" s="33"/>
      <c r="C26" s="33"/>
      <c r="D26" s="38"/>
      <c r="E26" s="38"/>
      <c r="F26" s="37"/>
      <c r="G26" s="33"/>
      <c r="H26" s="37"/>
    </row>
    <row r="27" spans="2:8">
      <c r="B27" s="33"/>
      <c r="C27" s="33"/>
      <c r="D27" s="38"/>
      <c r="E27" s="38"/>
      <c r="F27" s="37"/>
      <c r="G27" s="33"/>
      <c r="H27" s="37"/>
    </row>
    <row r="28" spans="2:8">
      <c r="B28" s="33"/>
      <c r="C28" s="33"/>
      <c r="D28" s="38"/>
      <c r="E28" s="38"/>
      <c r="F28" s="37"/>
      <c r="G28" s="33"/>
      <c r="H28" s="37"/>
    </row>
    <row r="29" spans="2:8">
      <c r="B29" s="33"/>
      <c r="C29" s="33"/>
      <c r="D29" s="38"/>
      <c r="E29" s="38"/>
      <c r="F29" s="37"/>
      <c r="G29" s="33"/>
      <c r="H29" s="37"/>
    </row>
    <row r="30" spans="2:8">
      <c r="B30" s="33"/>
      <c r="C30" s="33"/>
      <c r="D30" s="38"/>
      <c r="E30" s="38"/>
      <c r="F30" s="37"/>
      <c r="G30" s="33"/>
      <c r="H30" s="37"/>
    </row>
    <row r="31" spans="2:8">
      <c r="B31" s="33"/>
      <c r="C31" s="33"/>
      <c r="D31" s="38"/>
      <c r="E31" s="38"/>
      <c r="F31" s="37"/>
      <c r="G31" s="33"/>
      <c r="H31" s="37"/>
    </row>
    <row r="32" spans="2:8">
      <c r="B32" s="33"/>
      <c r="C32" s="33"/>
      <c r="D32" s="38"/>
      <c r="E32" s="38"/>
      <c r="F32" s="37"/>
      <c r="G32" s="33"/>
      <c r="H32" s="37"/>
    </row>
    <row r="33" spans="2:8">
      <c r="B33" s="33"/>
      <c r="C33" s="33"/>
      <c r="D33" s="38"/>
      <c r="E33" s="38"/>
      <c r="F33" s="37"/>
      <c r="G33" s="33"/>
      <c r="H33" s="37"/>
    </row>
    <row r="34" spans="2:8">
      <c r="B34" s="33"/>
      <c r="C34" s="33"/>
      <c r="D34" s="38"/>
      <c r="E34" s="38"/>
      <c r="F34" s="37"/>
      <c r="G34" s="33"/>
      <c r="H34" s="37"/>
    </row>
    <row r="35" spans="2:8">
      <c r="B35" s="33"/>
      <c r="C35" s="33"/>
      <c r="D35" s="38"/>
      <c r="E35" s="38"/>
      <c r="F35" s="37"/>
      <c r="G35" s="33"/>
      <c r="H35" s="37"/>
    </row>
    <row r="36" spans="2:8">
      <c r="B36" s="33"/>
      <c r="C36" s="33"/>
      <c r="D36" s="38"/>
      <c r="E36" s="38"/>
      <c r="F36" s="37"/>
      <c r="G36" s="33"/>
      <c r="H36" s="37"/>
    </row>
    <row r="37" spans="2:8">
      <c r="B37" s="33"/>
      <c r="C37" s="33"/>
      <c r="D37" s="38"/>
      <c r="E37" s="38"/>
      <c r="F37" s="37"/>
      <c r="G37" s="33"/>
      <c r="H37" s="37"/>
    </row>
    <row r="38" spans="2:8">
      <c r="B38" s="33"/>
      <c r="C38" s="33"/>
      <c r="D38" s="38"/>
      <c r="E38" s="38"/>
      <c r="F38" s="37"/>
      <c r="G38" s="33"/>
      <c r="H38" s="37"/>
    </row>
    <row r="39" spans="2:8">
      <c r="B39" s="33"/>
      <c r="C39" s="33"/>
      <c r="D39" s="38"/>
      <c r="E39" s="38"/>
      <c r="F39" s="37"/>
      <c r="G39" s="33"/>
      <c r="H39" s="37"/>
    </row>
    <row r="40" spans="2:8">
      <c r="B40" s="33"/>
      <c r="C40" s="33"/>
      <c r="D40" s="38"/>
      <c r="E40" s="38"/>
      <c r="F40" s="37"/>
      <c r="G40" s="33"/>
      <c r="H40" s="37"/>
    </row>
    <row r="41" spans="2:8">
      <c r="B41" s="33"/>
      <c r="C41" s="33"/>
      <c r="D41" s="38"/>
      <c r="E41" s="38"/>
      <c r="F41" s="37"/>
      <c r="G41" s="33"/>
      <c r="H41" s="37"/>
    </row>
    <row r="42" spans="2:8">
      <c r="B42" s="33"/>
      <c r="C42" s="33"/>
      <c r="D42" s="38"/>
      <c r="E42" s="38"/>
      <c r="F42" s="37"/>
      <c r="G42" s="33"/>
      <c r="H42" s="37"/>
    </row>
    <row r="43" spans="2:8">
      <c r="B43" s="33"/>
      <c r="C43" s="33"/>
      <c r="D43" s="38"/>
      <c r="E43" s="38"/>
      <c r="F43" s="37"/>
      <c r="G43" s="33"/>
      <c r="H43" s="37"/>
    </row>
    <row r="44" spans="2:8">
      <c r="B44" s="33"/>
      <c r="C44" s="33"/>
      <c r="D44" s="38"/>
      <c r="E44" s="38"/>
      <c r="F44" s="37"/>
      <c r="G44" s="33"/>
      <c r="H44" s="37"/>
    </row>
    <row r="45" spans="2:8">
      <c r="B45" s="33"/>
      <c r="C45" s="33"/>
      <c r="D45" s="38"/>
      <c r="E45" s="38"/>
      <c r="F45" s="37"/>
      <c r="G45" s="33"/>
      <c r="H45" s="37"/>
    </row>
    <row r="46" spans="2:8">
      <c r="B46" s="33"/>
      <c r="C46" s="33"/>
      <c r="D46" s="38"/>
      <c r="E46" s="38"/>
      <c r="F46" s="37"/>
      <c r="G46" s="33"/>
      <c r="H46" s="37"/>
    </row>
    <row r="47" spans="2:8">
      <c r="B47" s="33"/>
      <c r="C47" s="33"/>
      <c r="D47" s="38"/>
      <c r="E47" s="38"/>
      <c r="F47" s="37"/>
      <c r="G47" s="33"/>
      <c r="H47" s="37"/>
    </row>
    <row r="48" spans="2:8">
      <c r="B48" s="33"/>
      <c r="C48" s="33"/>
      <c r="D48" s="38"/>
      <c r="E48" s="38"/>
      <c r="F48" s="37"/>
      <c r="G48" s="33"/>
      <c r="H48" s="37"/>
    </row>
    <row r="49" spans="2:8">
      <c r="B49" s="33"/>
      <c r="C49" s="33"/>
      <c r="D49" s="38"/>
      <c r="E49" s="38"/>
      <c r="F49" s="37"/>
      <c r="G49" s="33"/>
      <c r="H49" s="37"/>
    </row>
    <row r="50" spans="2:8">
      <c r="B50" s="33"/>
      <c r="C50" s="33"/>
      <c r="D50" s="38"/>
      <c r="E50" s="38"/>
      <c r="F50" s="37"/>
      <c r="G50" s="33"/>
      <c r="H50" s="37"/>
    </row>
    <row r="51" spans="2:8">
      <c r="B51" s="33"/>
      <c r="C51" s="33"/>
      <c r="D51" s="38"/>
      <c r="E51" s="38"/>
      <c r="F51" s="37"/>
      <c r="G51" s="33"/>
      <c r="H51" s="37"/>
    </row>
    <row r="52" spans="2:8">
      <c r="B52" s="33"/>
      <c r="C52" s="33"/>
      <c r="D52" s="38"/>
      <c r="E52" s="38"/>
      <c r="F52" s="37"/>
      <c r="G52" s="33"/>
      <c r="H52" s="37"/>
    </row>
    <row r="53" spans="2:8">
      <c r="B53" s="33"/>
      <c r="C53" s="33"/>
      <c r="D53" s="38"/>
      <c r="E53" s="38"/>
      <c r="F53" s="37"/>
      <c r="G53" s="33"/>
      <c r="H53" s="37"/>
    </row>
    <row r="54" spans="2:8">
      <c r="B54" s="33"/>
      <c r="C54" s="33"/>
      <c r="D54" s="38"/>
      <c r="E54" s="38"/>
      <c r="F54" s="37"/>
      <c r="G54" s="33"/>
      <c r="H54" s="37"/>
    </row>
    <row r="55" spans="2:8">
      <c r="B55" s="33"/>
      <c r="C55" s="33"/>
      <c r="D55" s="38"/>
      <c r="E55" s="38"/>
      <c r="F55" s="37"/>
      <c r="G55" s="33"/>
      <c r="H55" s="37"/>
    </row>
    <row r="56" spans="2:8">
      <c r="B56" s="33"/>
      <c r="C56" s="33"/>
      <c r="D56" s="38"/>
      <c r="E56" s="38"/>
      <c r="F56" s="37"/>
      <c r="G56" s="33"/>
      <c r="H56" s="37"/>
    </row>
    <row r="57" spans="2:8">
      <c r="B57" s="33"/>
      <c r="C57" s="33"/>
      <c r="D57" s="38"/>
      <c r="E57" s="38"/>
      <c r="F57" s="37"/>
      <c r="G57" s="33"/>
      <c r="H57" s="37"/>
    </row>
    <row r="58" spans="2:8">
      <c r="B58" s="33"/>
      <c r="C58" s="33"/>
      <c r="D58" s="38"/>
      <c r="E58" s="38"/>
      <c r="F58" s="37"/>
      <c r="G58" s="33"/>
      <c r="H58" s="37"/>
    </row>
    <row r="59" spans="2:8">
      <c r="B59" s="33"/>
      <c r="C59" s="33"/>
      <c r="D59" s="38"/>
      <c r="E59" s="38"/>
      <c r="F59" s="37"/>
      <c r="G59" s="33"/>
      <c r="H59" s="37"/>
    </row>
    <row r="60" spans="2:8">
      <c r="B60" s="33"/>
      <c r="C60" s="33"/>
      <c r="D60" s="38"/>
      <c r="E60" s="38"/>
      <c r="F60" s="37"/>
      <c r="G60" s="33"/>
      <c r="H60" s="37"/>
    </row>
    <row r="61" spans="2:8">
      <c r="B61" s="33"/>
      <c r="C61" s="33"/>
      <c r="D61" s="38"/>
      <c r="E61" s="38"/>
      <c r="F61" s="37"/>
      <c r="G61" s="33"/>
      <c r="H61" s="37"/>
    </row>
    <row r="62" spans="2:8">
      <c r="B62" s="33"/>
      <c r="C62" s="33"/>
      <c r="D62" s="38"/>
      <c r="E62" s="38"/>
      <c r="F62" s="37"/>
      <c r="G62" s="33"/>
      <c r="H62" s="37"/>
    </row>
    <row r="63" spans="2:8">
      <c r="B63" s="33"/>
      <c r="C63" s="33"/>
      <c r="D63" s="38"/>
      <c r="E63" s="38"/>
      <c r="F63" s="37"/>
      <c r="G63" s="33"/>
      <c r="H63" s="37"/>
    </row>
    <row r="64" spans="2:8">
      <c r="B64" s="33"/>
      <c r="C64" s="33"/>
      <c r="D64" s="38"/>
      <c r="E64" s="38"/>
      <c r="F64" s="37"/>
      <c r="G64" s="33"/>
      <c r="H64" s="37"/>
    </row>
    <row r="65" spans="2:8">
      <c r="B65" s="33"/>
      <c r="C65" s="33"/>
      <c r="D65" s="38"/>
      <c r="E65" s="38"/>
      <c r="F65" s="37"/>
      <c r="G65" s="33"/>
      <c r="H65" s="37"/>
    </row>
    <row r="66" spans="2:8">
      <c r="B66" s="33"/>
      <c r="C66" s="33"/>
      <c r="D66" s="38"/>
      <c r="E66" s="38"/>
      <c r="F66" s="37"/>
      <c r="G66" s="33"/>
      <c r="H66" s="37"/>
    </row>
    <row r="67" spans="2:8">
      <c r="B67" s="33"/>
      <c r="C67" s="33"/>
      <c r="D67" s="38"/>
      <c r="E67" s="38"/>
      <c r="F67" s="37"/>
      <c r="G67" s="33"/>
      <c r="H67" s="37"/>
    </row>
    <row r="68" spans="2:8">
      <c r="B68" s="33"/>
      <c r="C68" s="33"/>
      <c r="D68" s="38"/>
      <c r="E68" s="38"/>
      <c r="F68" s="37"/>
      <c r="G68" s="33"/>
      <c r="H68" s="37"/>
    </row>
    <row r="69" spans="2:8">
      <c r="B69" s="33"/>
      <c r="C69" s="33"/>
      <c r="D69" s="38"/>
      <c r="E69" s="38"/>
      <c r="F69" s="37"/>
      <c r="G69" s="33"/>
      <c r="H69" s="37"/>
    </row>
    <row r="70" spans="2:8">
      <c r="B70" s="33"/>
      <c r="C70" s="33"/>
      <c r="D70" s="38"/>
      <c r="E70" s="38"/>
      <c r="F70" s="37"/>
      <c r="G70" s="33"/>
      <c r="H70" s="37"/>
    </row>
    <row r="71" spans="2:8">
      <c r="B71" s="33"/>
      <c r="C71" s="33"/>
      <c r="D71" s="38"/>
      <c r="E71" s="38"/>
      <c r="F71" s="37"/>
      <c r="G71" s="33"/>
      <c r="H71" s="37"/>
    </row>
    <row r="72" spans="2:8">
      <c r="B72" s="33"/>
      <c r="C72" s="33"/>
      <c r="D72" s="38"/>
      <c r="E72" s="38"/>
      <c r="F72" s="37"/>
      <c r="G72" s="33"/>
      <c r="H72" s="37"/>
    </row>
    <row r="73" spans="2:8">
      <c r="B73" s="33"/>
      <c r="C73" s="33"/>
      <c r="D73" s="38"/>
      <c r="E73" s="38"/>
      <c r="F73" s="37"/>
      <c r="G73" s="33"/>
      <c r="H73" s="37"/>
    </row>
    <row r="74" spans="2:8">
      <c r="B74" s="33"/>
      <c r="C74" s="33"/>
      <c r="D74" s="38"/>
      <c r="E74" s="38"/>
      <c r="F74" s="37"/>
      <c r="G74" s="33"/>
      <c r="H74" s="37"/>
    </row>
    <row r="75" spans="2:8">
      <c r="B75" s="33"/>
      <c r="C75" s="33"/>
      <c r="D75" s="38"/>
      <c r="E75" s="38"/>
      <c r="F75" s="37"/>
      <c r="G75" s="33"/>
      <c r="H75" s="37"/>
    </row>
    <row r="76" spans="2:8">
      <c r="B76" s="33"/>
      <c r="C76" s="33"/>
      <c r="D76" s="38"/>
      <c r="E76" s="38"/>
      <c r="F76" s="37"/>
      <c r="G76" s="33"/>
      <c r="H76" s="37"/>
    </row>
    <row r="77" spans="2:8">
      <c r="B77" s="33"/>
      <c r="C77" s="33"/>
      <c r="D77" s="38"/>
      <c r="E77" s="38"/>
      <c r="F77" s="37"/>
      <c r="G77" s="33"/>
      <c r="H77" s="37"/>
    </row>
    <row r="78" spans="2:8">
      <c r="B78" s="33"/>
      <c r="C78" s="33"/>
      <c r="D78" s="38"/>
      <c r="E78" s="38"/>
      <c r="F78" s="37"/>
      <c r="G78" s="33"/>
      <c r="H78" s="37"/>
    </row>
    <row r="79" spans="2:8">
      <c r="B79" s="33"/>
      <c r="C79" s="33"/>
      <c r="D79" s="38"/>
      <c r="E79" s="38"/>
      <c r="F79" s="37"/>
      <c r="G79" s="33"/>
      <c r="H79" s="37"/>
    </row>
    <row r="80" spans="2:8">
      <c r="B80" s="33"/>
      <c r="C80" s="33"/>
      <c r="D80" s="38"/>
      <c r="E80" s="38"/>
      <c r="F80" s="37"/>
      <c r="G80" s="33"/>
      <c r="H80" s="37"/>
    </row>
    <row r="81" spans="2:8">
      <c r="B81" s="33"/>
      <c r="C81" s="33"/>
      <c r="D81" s="38"/>
      <c r="E81" s="38"/>
      <c r="F81" s="37"/>
      <c r="G81" s="33"/>
      <c r="H81" s="37"/>
    </row>
    <row r="82" spans="2:8">
      <c r="B82" s="33"/>
      <c r="C82" s="33"/>
      <c r="D82" s="38"/>
      <c r="E82" s="38"/>
      <c r="F82" s="37"/>
      <c r="G82" s="33"/>
      <c r="H82" s="37"/>
    </row>
    <row r="83" spans="2:8">
      <c r="B83" s="33"/>
      <c r="C83" s="33"/>
      <c r="D83" s="38"/>
      <c r="E83" s="38"/>
      <c r="F83" s="37"/>
      <c r="G83" s="33"/>
      <c r="H83" s="37"/>
    </row>
    <row r="84" spans="2:8">
      <c r="B84" s="33"/>
      <c r="C84" s="33"/>
      <c r="D84" s="38"/>
      <c r="E84" s="38"/>
      <c r="F84" s="37"/>
      <c r="G84" s="33"/>
      <c r="H84" s="37"/>
    </row>
    <row r="85" spans="2:8">
      <c r="B85" s="33"/>
      <c r="C85" s="33"/>
      <c r="D85" s="38"/>
      <c r="E85" s="38"/>
      <c r="F85" s="37"/>
      <c r="G85" s="33"/>
      <c r="H85" s="37"/>
    </row>
    <row r="86" spans="2:8">
      <c r="B86" s="33"/>
      <c r="C86" s="33"/>
      <c r="D86" s="38"/>
      <c r="E86" s="38"/>
      <c r="F86" s="37"/>
      <c r="G86" s="33"/>
      <c r="H86" s="37"/>
    </row>
    <row r="87" spans="2:8">
      <c r="B87" s="33"/>
      <c r="C87" s="33"/>
      <c r="D87" s="38"/>
      <c r="E87" s="38"/>
      <c r="F87" s="37"/>
      <c r="G87" s="33"/>
      <c r="H87" s="37"/>
    </row>
    <row r="88" spans="2:8">
      <c r="B88" s="33"/>
      <c r="C88" s="33"/>
      <c r="D88" s="38"/>
      <c r="E88" s="38"/>
      <c r="F88" s="37"/>
      <c r="G88" s="33"/>
      <c r="H88" s="37"/>
    </row>
    <row r="89" spans="2:8">
      <c r="B89" s="33"/>
      <c r="C89" s="33"/>
      <c r="D89" s="38"/>
      <c r="E89" s="38"/>
      <c r="F89" s="37"/>
      <c r="G89" s="33"/>
      <c r="H89" s="37"/>
    </row>
    <row r="90" spans="2:8">
      <c r="B90" s="33"/>
      <c r="C90" s="33"/>
      <c r="D90" s="38"/>
      <c r="E90" s="38"/>
      <c r="F90" s="37"/>
      <c r="G90" s="33"/>
      <c r="H90" s="37"/>
    </row>
    <row r="91" spans="2:8">
      <c r="B91" s="33"/>
      <c r="C91" s="33"/>
      <c r="D91" s="38"/>
      <c r="E91" s="38"/>
      <c r="F91" s="37"/>
      <c r="G91" s="33"/>
      <c r="H91" s="37"/>
    </row>
    <row r="92" spans="2:8">
      <c r="B92" s="33"/>
      <c r="C92" s="33"/>
      <c r="D92" s="38"/>
      <c r="E92" s="38"/>
      <c r="F92" s="37"/>
      <c r="G92" s="33"/>
      <c r="H92" s="37"/>
    </row>
    <row r="93" spans="2:8">
      <c r="B93" s="33"/>
      <c r="C93" s="33"/>
      <c r="D93" s="38"/>
      <c r="E93" s="38"/>
      <c r="F93" s="37"/>
      <c r="G93" s="33"/>
      <c r="H93" s="37"/>
    </row>
    <row r="94" spans="2:8">
      <c r="B94" s="33"/>
      <c r="C94" s="33"/>
      <c r="D94" s="38"/>
      <c r="E94" s="38"/>
      <c r="F94" s="37"/>
      <c r="G94" s="33"/>
      <c r="H94" s="37"/>
    </row>
    <row r="95" spans="2:8">
      <c r="B95" s="33"/>
      <c r="C95" s="33"/>
      <c r="D95" s="38"/>
      <c r="E95" s="38"/>
      <c r="F95" s="37"/>
      <c r="G95" s="33"/>
      <c r="H95" s="37"/>
    </row>
    <row r="96" spans="2:8">
      <c r="B96" s="33"/>
      <c r="C96" s="33"/>
      <c r="D96" s="38"/>
      <c r="E96" s="38"/>
      <c r="F96" s="37"/>
      <c r="G96" s="33"/>
      <c r="H96" s="37"/>
    </row>
    <row r="97" spans="2:8">
      <c r="B97" s="33"/>
      <c r="C97" s="33"/>
      <c r="D97" s="38"/>
      <c r="E97" s="38"/>
      <c r="F97" s="37"/>
      <c r="G97" s="33"/>
      <c r="H97" s="37"/>
    </row>
    <row r="98" spans="2:8">
      <c r="B98" s="33"/>
      <c r="C98" s="33"/>
      <c r="D98" s="38"/>
      <c r="E98" s="38"/>
      <c r="F98" s="37"/>
      <c r="G98" s="33"/>
      <c r="H98" s="37"/>
    </row>
    <row r="99" spans="2:8">
      <c r="B99" s="33"/>
      <c r="C99" s="33"/>
      <c r="D99" s="38"/>
      <c r="E99" s="38"/>
      <c r="F99" s="37"/>
      <c r="G99" s="33"/>
      <c r="H99" s="37"/>
    </row>
    <row r="100" spans="2:8">
      <c r="B100" s="33"/>
      <c r="C100" s="33"/>
      <c r="D100" s="38"/>
      <c r="E100" s="38"/>
      <c r="F100" s="37"/>
      <c r="G100" s="33"/>
      <c r="H100" s="37"/>
    </row>
    <row r="101" spans="2:8">
      <c r="B101" s="33"/>
      <c r="C101" s="33"/>
      <c r="D101" s="38"/>
      <c r="E101" s="38"/>
      <c r="F101" s="37"/>
      <c r="G101" s="33"/>
      <c r="H101" s="37"/>
    </row>
    <row r="102" spans="2:8">
      <c r="B102" s="33"/>
      <c r="C102" s="33"/>
      <c r="D102" s="38"/>
      <c r="E102" s="38"/>
      <c r="F102" s="37"/>
      <c r="G102" s="33"/>
      <c r="H102" s="37"/>
    </row>
    <row r="103" spans="2:8">
      <c r="B103" s="33"/>
      <c r="C103" s="33"/>
      <c r="D103" s="38"/>
      <c r="E103" s="38"/>
      <c r="F103" s="37"/>
      <c r="G103" s="33"/>
      <c r="H103" s="37"/>
    </row>
  </sheetData>
  <mergeCells count="1">
    <mergeCell ref="E4:E5"/>
  </mergeCells>
  <phoneticPr fontId="1" type="noConversion"/>
  <conditionalFormatting sqref="B23:H103 C22:H22">
    <cfRule type="expression" dxfId="0" priority="1">
      <formula>IF(B22&lt;&gt;"",TRUE,FALSE)</formula>
    </cfRule>
  </conditionalFormatting>
  <hyperlinks>
    <hyperlink ref="A1" location="目录!A1" display="back" xr:uid="{0467CBA6-0738-415B-BF53-E61278C7723E}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</vt:i4>
      </vt:variant>
    </vt:vector>
  </HeadingPairs>
  <TitlesOfParts>
    <vt:vector size="17" baseType="lpstr">
      <vt:lpstr>目录</vt:lpstr>
      <vt:lpstr>简介</vt:lpstr>
      <vt:lpstr>一期看涨期权定价</vt:lpstr>
      <vt:lpstr>一期看跌期权定价</vt:lpstr>
      <vt:lpstr>复制法</vt:lpstr>
      <vt:lpstr>风险中性定价方法</vt:lpstr>
      <vt:lpstr>状态价格</vt:lpstr>
      <vt:lpstr>一个简单二步二叉树案例</vt:lpstr>
      <vt:lpstr>用数据表进行一步计算</vt:lpstr>
      <vt:lpstr>用VBA计算欧式期权</vt:lpstr>
      <vt:lpstr>二叉树美式期权</vt:lpstr>
      <vt:lpstr>用VBA计算美式期权</vt:lpstr>
      <vt:lpstr>D</vt:lpstr>
      <vt:lpstr>Sd</vt:lpstr>
      <vt:lpstr>Su</vt:lpstr>
      <vt:lpstr>U</vt:lpstr>
      <vt:lpstr>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2022-10-01T17:07:48Z</dcterms:created>
  <dcterms:modified xsi:type="dcterms:W3CDTF">2022-10-22T18:37:28Z</dcterms:modified>
  <cp:category/>
  <cp:contentStatus/>
</cp:coreProperties>
</file>