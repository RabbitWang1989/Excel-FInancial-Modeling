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3EDE302E-20CA-49F9-8038-4A96E8BDB139}" xr6:coauthVersionLast="47" xr6:coauthVersionMax="47" xr10:uidLastSave="{00000000-0000-0000-0000-000000000000}"/>
  <bookViews>
    <workbookView xWindow="-6600" yWindow="-13068" windowWidth="23256" windowHeight="13176" xr2:uid="{F6A92337-4E2B-42AA-AEA7-AFF42319F4AB}"/>
  </bookViews>
  <sheets>
    <sheet name="目录" sheetId="2" r:id="rId1"/>
    <sheet name="计算员工认股权" sheetId="29" r:id="rId2"/>
  </sheets>
  <functionGroups builtInGroupCount="19"/>
  <definedNames>
    <definedName name="_xlpm.r" hidden="1" xlm="1">#NAME?</definedName>
    <definedName name="roadmap">GET.WORKBOOK(1)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F4" i="29" a="1"/>
  <c r="B3" i="2"/>
  <c r="B2" i="2"/>
  <c r="B4" i="2"/>
  <c r="B8" i="2"/>
  <c r="B12" i="2"/>
  <c r="B16" i="2"/>
  <c r="B20" i="2"/>
  <c r="B24" i="2"/>
  <c r="B28" i="2"/>
  <c r="B32" i="2"/>
  <c r="B36" i="2"/>
  <c r="B13" i="2"/>
  <c r="B29" i="2"/>
  <c r="B7" i="2"/>
  <c r="B11" i="2"/>
  <c r="B15" i="2"/>
  <c r="B19" i="2"/>
  <c r="B23" i="2"/>
  <c r="B27" i="2"/>
  <c r="B31" i="2"/>
  <c r="B35" i="2"/>
  <c r="B5" i="2"/>
  <c r="B9" i="2"/>
  <c r="B17" i="2"/>
  <c r="B6" i="2"/>
  <c r="B10" i="2"/>
  <c r="B14" i="2"/>
  <c r="B18" i="2"/>
  <c r="B22" i="2"/>
  <c r="B26" i="2"/>
  <c r="B30" i="2"/>
  <c r="B34" i="2"/>
  <c r="B21" i="2"/>
  <c r="B25" i="2"/>
  <c r="B33" i="2"/>
  <c r="B37" i="2"/>
  <c r="F4" i="29" l="1"/>
  <c r="C45" i="29" s="1"/>
  <c r="A3" i="2"/>
  <c r="C3" i="2"/>
  <c r="C37" i="2"/>
  <c r="A37" i="2"/>
  <c r="C33" i="2"/>
  <c r="A33" i="2"/>
  <c r="C25" i="2"/>
  <c r="A25" i="2"/>
  <c r="C21" i="2"/>
  <c r="A21" i="2"/>
  <c r="A34" i="2"/>
  <c r="C34" i="2"/>
  <c r="A30" i="2"/>
  <c r="C30" i="2"/>
  <c r="C26" i="2"/>
  <c r="A26" i="2"/>
  <c r="C22" i="2"/>
  <c r="A22" i="2"/>
  <c r="A18" i="2"/>
  <c r="C18" i="2"/>
  <c r="A14" i="2"/>
  <c r="C14" i="2"/>
  <c r="A10" i="2"/>
  <c r="C10" i="2"/>
  <c r="C6" i="2"/>
  <c r="A6" i="2"/>
  <c r="C17" i="2"/>
  <c r="A17" i="2"/>
  <c r="C9" i="2"/>
  <c r="A9" i="2"/>
  <c r="C5" i="2"/>
  <c r="A5" i="2"/>
  <c r="A35" i="2"/>
  <c r="C35" i="2"/>
  <c r="A31" i="2"/>
  <c r="C31" i="2"/>
  <c r="A27" i="2"/>
  <c r="C27" i="2"/>
  <c r="A23" i="2"/>
  <c r="C23" i="2"/>
  <c r="A19" i="2"/>
  <c r="C19" i="2"/>
  <c r="A15" i="2"/>
  <c r="C15" i="2"/>
  <c r="A11" i="2"/>
  <c r="C11" i="2"/>
  <c r="A7" i="2"/>
  <c r="C7" i="2"/>
  <c r="C29" i="2"/>
  <c r="A29" i="2"/>
  <c r="C13" i="2"/>
  <c r="A13" i="2"/>
  <c r="C36" i="2"/>
  <c r="A36" i="2"/>
  <c r="C32" i="2"/>
  <c r="A32" i="2"/>
  <c r="C28" i="2"/>
  <c r="A28" i="2"/>
  <c r="C24" i="2"/>
  <c r="A24" i="2"/>
  <c r="A20" i="2"/>
  <c r="C20" i="2"/>
  <c r="C16" i="2"/>
  <c r="A16" i="2"/>
  <c r="C12" i="2"/>
  <c r="A12" i="2"/>
  <c r="C8" i="2"/>
  <c r="A8" i="2"/>
  <c r="C4" i="2"/>
  <c r="A4" i="2"/>
  <c r="A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<sst xmlns="http://schemas.openxmlformats.org/spreadsheetml/2006/main" count="25" uniqueCount="25">
  <si>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序号</t>
    <phoneticPr fontId="1" type="noConversion"/>
  </si>
  <si>
    <t>目录</t>
    <phoneticPr fontId="1" type="noConversion"/>
  </si>
  <si>
    <t>链接</t>
    <phoneticPr fontId="1" type="noConversion"/>
  </si>
  <si>
    <t>back</t>
    <phoneticPr fontId="1" type="noConversion"/>
  </si>
  <si>
    <t>用二叉树模型计算员工认股权价格</t>
    <phoneticPr fontId="1" type="noConversion"/>
  </si>
  <si>
    <t>前提假设：</t>
    <phoneticPr fontId="1" type="noConversion"/>
  </si>
  <si>
    <t>1. 在除权期间，员工不允许行权。如果员工在除权期间离开了公司，自动放弃该认股权。</t>
    <phoneticPr fontId="1" type="noConversion"/>
  </si>
  <si>
    <t>2. 假设公司的每年的离职率是e。</t>
    <phoneticPr fontId="1" type="noConversion"/>
  </si>
  <si>
    <t>3. 如果过了除权期间，如果员工离职，那么必须立刻行权。</t>
    <phoneticPr fontId="1" type="noConversion"/>
  </si>
  <si>
    <t>4. 由于税务的要求，在认股权发行的时候，其行权价和当时公司的股价相等。</t>
    <phoneticPr fontId="1" type="noConversion"/>
  </si>
  <si>
    <t>5. 假设在期权到期前，当股价达到行权价的m倍时，员工就会选择行权。（公司员工行为假设）</t>
    <phoneticPr fontId="1" type="noConversion"/>
  </si>
  <si>
    <t>最终价格</t>
    <phoneticPr fontId="1" type="noConversion"/>
  </si>
  <si>
    <t>目前股票价格，S</t>
    <phoneticPr fontId="1" type="noConversion"/>
  </si>
  <si>
    <t>认股权执行价格，X</t>
    <phoneticPr fontId="1" type="noConversion"/>
  </si>
  <si>
    <t>认股权到期时间，T</t>
    <phoneticPr fontId="1" type="noConversion"/>
  </si>
  <si>
    <t>除权期间，Vesting Periods</t>
    <phoneticPr fontId="1" type="noConversion"/>
  </si>
  <si>
    <t>无风险利率，Rate</t>
    <phoneticPr fontId="1" type="noConversion"/>
  </si>
  <si>
    <t>股票波动率，sigma</t>
    <phoneticPr fontId="1" type="noConversion"/>
  </si>
  <si>
    <t>股票年分红率，dividend rate</t>
    <phoneticPr fontId="1" type="noConversion"/>
  </si>
  <si>
    <t>员工年离职率, E</t>
    <phoneticPr fontId="1" type="noConversion"/>
  </si>
  <si>
    <t>员工行权的价格触发点（执行价格的m倍), M</t>
    <phoneticPr fontId="1" type="noConversion"/>
  </si>
  <si>
    <t>将一年的时间划分成n份，n</t>
    <phoneticPr fontId="1" type="noConversion"/>
  </si>
  <si>
    <t>认股权的价格与员工每年离职率之间的关系</t>
    <phoneticPr fontId="1" type="noConversion"/>
  </si>
  <si>
    <t>E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</si>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</sst>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1" formatCode="#,##0.000"/>
  </numFmts>
  <fonts count="1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b/>
      <sz val="11"/>
      <color theme="0"/>
      <name val="等线"/>
      <family val="2"/>
      <scheme val="minor"/>
    </font>
    <font>
      <sz val="11"/>
      <color theme="0"/>
      <name val="等线"/>
      <family val="2"/>
      <charset val="134"/>
      <scheme val="minor"/>
    </font>
    <font>
      <vertAlign val="subscript"/>
      <sz val="11"/>
      <color theme="1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6"/>
      <color theme="0"/>
      <name val="DengXian"/>
      <charset val="134"/>
    </font>
    <font>
      <u/>
      <sz val="11"/>
      <color theme="1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>
      <alignment vertical="center"/>
    </xf>
    <xf numFmtId="0" fontId="2" fillId="0" borderId="0" xfId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0" fillId="0" borderId="1" xfId="0" applyNumberFormat="1" applyBorder="1">
      <alignment vertical="center"/>
    </xf>
    <xf numFmtId="9" fontId="0" fillId="0" borderId="1" xfId="0" applyNumberFormat="1" applyBorder="1">
      <alignment vertical="center"/>
    </xf>
    <xf numFmtId="0" fontId="8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计算员工认股权!$B$46:$B$53</c:f>
              <c:numCache>
                <c:formatCode>0%</c:formatCode>
                <c:ptCount val="8"/>
                <c:pt idx="0">
                  <c:v>0</c:v>
                </c:pt>
                <c:pt idx="1">
                  <c:v>0.01</c:v>
                </c:pt>
                <c:pt idx="2">
                  <c:v>0.03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0.09</c:v>
                </c:pt>
                <c:pt idx="6">
                  <c:v>0.11</c:v>
                </c:pt>
                <c:pt idx="7">
                  <c:v>0.13</c:v>
                </c:pt>
              </c:numCache>
            </c:numRef>
          </c:cat>
          <c:val>
            <c:numRef>
              <c:f>计算员工认股权!$C$46:$C$53</c:f>
              <c:numCache>
                <c:formatCode>General</c:formatCode>
                <c:ptCount val="8"/>
                <c:pt idx="0">
                  <c:v>20.173190869494647</c:v>
                </c:pt>
                <c:pt idx="1">
                  <c:v>19.362095292459731</c:v>
                </c:pt>
                <c:pt idx="2">
                  <c:v>17.853646016926589</c:v>
                </c:pt>
                <c:pt idx="3">
                  <c:v>16.482842529669373</c:v>
                </c:pt>
                <c:pt idx="4">
                  <c:v>15.234748368899142</c:v>
                </c:pt>
                <c:pt idx="5">
                  <c:v>14.096300616846284</c:v>
                </c:pt>
                <c:pt idx="6">
                  <c:v>13.056050620429058</c:v>
                </c:pt>
                <c:pt idx="7">
                  <c:v>12.103942811906744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53-444D-91F0-110A3DEA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2698096"/>
        <c:axId val="1522702672"/>
      </c:lineChart>
      <c:catAx>
        <c:axId val="1522698096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2702672"/>
        <c:crosses val="autoZero"/>
        <c:auto val="1"/>
        <c:lblAlgn val="ctr"/>
        <c:lblOffset val="100"/>
        <c:noMultiLvlLbl val="0"/>
      </c:catAx>
      <c:valAx>
        <c:axId val="1522702672"/>
        <c:scaling>
          <c:orientation val="minMax"/>
          <c:max val="21"/>
          <c:min val="1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269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105033</xdr:colOff>
      <xdr:row>2</xdr:row>
      <xdr:rowOff>107004</xdr:rowOff>
    </xdr:from>
    <xdr:to>
      <xdr:col>5</xdr:col>
      <xdr:colOff>585897</xdr:colOff>
      <xdr:row>11</xdr:row>
      <xdr:rowOff>90121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FDF5858B-014D-EC89-B57B-8F268D971A49}"/>
            </a:ext>
          </a:extLst>
        </xdr:cNvPr>
        <xdr:cNvSpPr txBox="1"/>
      </xdr:nvSpPr>
      <xdr:spPr>
        <a:xfrm>
          <a:off x="105033" y="453845"/>
          <a:ext cx="4364436" cy="15439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altLang="en-US" sz="3200" b="1" i="1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期权</a:t>
          </a:r>
          <a:r>
            <a:rPr lang="zh-CN" altLang="en-US" sz="32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endParaRPr lang="en-US" altLang="zh-CN" sz="3200" b="1" i="1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 rtl="0"/>
          <a:r>
            <a:rPr lang="zh-CN" altLang="en-US" sz="2000" b="1">
              <a:solidFill>
                <a:sysClr val="windowText" lastClr="000000"/>
              </a:solidFill>
            </a:rPr>
            <a:t>用</a:t>
          </a:r>
          <a:r>
            <a:rPr lang="en-US" altLang="zh-CN" sz="2000" b="1">
              <a:solidFill>
                <a:schemeClr val="accent6"/>
              </a:solidFill>
            </a:rPr>
            <a:t>Excel VBA</a:t>
          </a:r>
          <a:r>
            <a:rPr lang="zh-CN" altLang="en-US" sz="2000" b="1">
              <a:solidFill>
                <a:sysClr val="windowText" lastClr="000000"/>
              </a:solidFill>
            </a:rPr>
            <a:t>以及二叉树期权定价公式，</a:t>
          </a:r>
          <a:endParaRPr lang="en-US" altLang="zh-CN" sz="2000" b="1">
            <a:solidFill>
              <a:sysClr val="windowText" lastClr="000000"/>
            </a:solidFill>
          </a:endParaRPr>
        </a:p>
        <a:p>
          <a:pPr algn="l" rtl="0"/>
          <a:r>
            <a:rPr lang="zh-CN" altLang="en-US" sz="2000" b="1">
              <a:solidFill>
                <a:sysClr val="windowText" lastClr="000000"/>
              </a:solidFill>
            </a:rPr>
            <a:t>对“</a:t>
          </a:r>
          <a:r>
            <a:rPr lang="zh-CN" altLang="en-US" sz="2000" b="1" i="1" u="none">
              <a:solidFill>
                <a:srgbClr val="FF0000"/>
              </a:solidFill>
            </a:rPr>
            <a:t>员工认股权</a:t>
          </a:r>
          <a:r>
            <a:rPr lang="zh-CN" altLang="en-US" sz="2000" b="1">
              <a:solidFill>
                <a:sysClr val="windowText" lastClr="000000"/>
              </a:solidFill>
            </a:rPr>
            <a:t>”进行定价计算</a:t>
          </a:r>
          <a:endParaRPr lang="zh-CN" altLang="en-US" sz="20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2</xdr:col>
      <xdr:colOff>388091</xdr:colOff>
      <xdr:row>37</xdr:row>
      <xdr:rowOff>18719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1FFDE45-EAE3-88FA-B99C-54DDAC62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594860"/>
          <a:ext cx="4228571" cy="2647619"/>
        </a:xfrm>
        <a:prstGeom prst="rect">
          <a:avLst/>
        </a:prstGeom>
      </xdr:spPr>
    </xdr:pic>
    <xdr:clientData/>
  </xdr:twoCellAnchor>
  <xdr:twoCellAnchor>
    <xdr:from>
      <xdr:col>3</xdr:col>
      <xdr:colOff>327212</xdr:colOff>
      <xdr:row>44</xdr:row>
      <xdr:rowOff>107577</xdr:rowOff>
    </xdr:from>
    <xdr:to>
      <xdr:col>9</xdr:col>
      <xdr:colOff>318248</xdr:colOff>
      <xdr:row>59</xdr:row>
      <xdr:rowOff>116541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66CFD2F-4BBC-3C16-F93B-983DBFE6E8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showGridLines="0" tabSelected="1" zoomScale="205" zoomScaleNormal="205" workbookViewId="0">
      <selection activeCell="B13" sqref="B13"/>
    </sheetView>
  </sheetViews>
  <sheetFormatPr defaultColWidth="9" defaultRowHeight="13.8"/>
  <cols>
    <col min="2" max="2" width="20.77734375" customWidth="1"/>
  </cols>
  <sheetData>
    <row r="1" spans="1:6">
      <c r="A1" s="11" t="s">
        <v>0</v>
      </c>
      <c r="B1" s="11" t="s">
        <v>1</v>
      </c>
      <c r="C1" s="11" t="s">
        <v>2</v>
      </c>
      <c r="D1" s="3"/>
      <c r="E1" s="3"/>
      <c r="F1" s="3"/>
    </row>
    <row r="2" spans="1:6">
      <c r="A2" s="7">
        <f>IF(B2&lt;&gt;"",ROW()-1,"")</f>
        <v>1</v>
      </c>
      <c r="B2" s="12" t="str">
        <f>IFERROR(REPLACE(INDEX(roadmap,1,ROW()),1,FIND("]",INDEX(roadmap,1,ROW())),""),"")</f>
        <v>计算员工认股权</v>
      </c>
      <c r="C2" s="13" t="str">
        <f>IF(B2&lt;&gt;"",HYPERLINK("#"&amp;B2&amp;"!A1","Link"),"")</f>
        <v>Link</v>
      </c>
    </row>
    <row r="3" spans="1:6">
      <c r="A3" s="7" t="str">
        <f>IF(B3&lt;&gt;"",ROW()-1,"")</f>
        <v/>
      </c>
      <c r="B3" s="12" t="str">
        <f>IFERROR(REPLACE(INDEX(roadmap,1,ROW()),1,FIND("]",INDEX(roadmap,1,ROW())),""),"")</f>
        <v/>
      </c>
      <c r="C3" s="13" t="str">
        <f>IF(B3&lt;&gt;"",HYPERLINK("#"&amp;B3&amp;"!A1","Link"),"")</f>
        <v/>
      </c>
    </row>
    <row r="4" spans="1:6">
      <c r="A4" s="7" t="str">
        <f t="shared" ref="A3:A37" si="0">IF(B4&lt;&gt;"",ROW()-1,"")</f>
        <v/>
      </c>
      <c r="B4" s="12" t="str">
        <f>IFERROR(REPLACE(INDEX(roadmap,1,ROW()),1,FIND("]",INDEX(roadmap,1,ROW())),""),"")</f>
        <v/>
      </c>
      <c r="C4" s="13" t="str">
        <f t="shared" ref="C3:C37" si="1">IF(B4&lt;&gt;"",HYPERLINK("#"&amp;B4&amp;"!A1","Link"),"")</f>
        <v/>
      </c>
    </row>
    <row r="5" spans="1:6">
      <c r="A5" s="7" t="str">
        <f t="shared" si="0"/>
        <v/>
      </c>
      <c r="B5" s="12" t="str">
        <f>IFERROR(REPLACE(INDEX(roadmap,1,ROW()),1,FIND("]",INDEX(roadmap,1,ROW())),""),"")</f>
        <v/>
      </c>
      <c r="C5" s="13" t="str">
        <f t="shared" si="1"/>
        <v/>
      </c>
    </row>
    <row r="6" spans="1:6">
      <c r="A6" s="7" t="str">
        <f t="shared" si="0"/>
        <v/>
      </c>
      <c r="B6" s="12" t="str">
        <f>IFERROR(REPLACE(INDEX(roadmap,1,ROW()),1,FIND("]",INDEX(roadmap,1,ROW())),""),"")</f>
        <v/>
      </c>
      <c r="C6" s="13" t="str">
        <f t="shared" si="1"/>
        <v/>
      </c>
    </row>
    <row r="7" spans="1:6">
      <c r="A7" s="7" t="str">
        <f t="shared" si="0"/>
        <v/>
      </c>
      <c r="B7" s="12" t="str">
        <f>IFERROR(REPLACE(INDEX(roadmap,1,ROW()),1,FIND("]",INDEX(roadmap,1,ROW())),""),"")</f>
        <v/>
      </c>
      <c r="C7" s="13" t="str">
        <f t="shared" si="1"/>
        <v/>
      </c>
    </row>
    <row r="8" spans="1:6">
      <c r="A8" s="7" t="str">
        <f t="shared" si="0"/>
        <v/>
      </c>
      <c r="B8" s="12" t="str">
        <f>IFERROR(REPLACE(INDEX(roadmap,1,ROW()),1,FIND("]",INDEX(roadmap,1,ROW())),""),"")</f>
        <v/>
      </c>
      <c r="C8" s="13" t="str">
        <f t="shared" si="1"/>
        <v/>
      </c>
    </row>
    <row r="9" spans="1:6">
      <c r="A9" s="7" t="str">
        <f t="shared" si="0"/>
        <v/>
      </c>
      <c r="B9" s="12" t="str">
        <f>IFERROR(REPLACE(INDEX(roadmap,1,ROW()),1,FIND("]",INDEX(roadmap,1,ROW())),""),"")</f>
        <v/>
      </c>
      <c r="C9" s="13" t="str">
        <f t="shared" si="1"/>
        <v/>
      </c>
    </row>
    <row r="10" spans="1:6">
      <c r="A10" s="7" t="str">
        <f t="shared" si="0"/>
        <v/>
      </c>
      <c r="B10" s="12" t="str">
        <f>IFERROR(REPLACE(INDEX(roadmap,1,ROW()),1,FIND("]",INDEX(roadmap,1,ROW())),""),"")</f>
        <v/>
      </c>
      <c r="C10" s="13" t="str">
        <f t="shared" si="1"/>
        <v/>
      </c>
    </row>
    <row r="11" spans="1:6">
      <c r="A11" s="7" t="str">
        <f t="shared" si="0"/>
        <v/>
      </c>
      <c r="B11" s="12" t="str">
        <f>IFERROR(REPLACE(INDEX(roadmap,1,ROW()),1,FIND("]",INDEX(roadmap,1,ROW())),""),"")</f>
        <v/>
      </c>
      <c r="C11" s="13" t="str">
        <f t="shared" si="1"/>
        <v/>
      </c>
    </row>
    <row r="12" spans="1:6">
      <c r="A12" s="7" t="str">
        <f t="shared" si="0"/>
        <v/>
      </c>
      <c r="B12" s="12" t="str">
        <f>IFERROR(REPLACE(INDEX(roadmap,1,ROW()),1,FIND("]",INDEX(roadmap,1,ROW())),""),"")</f>
        <v/>
      </c>
      <c r="C12" s="13" t="str">
        <f t="shared" si="1"/>
        <v/>
      </c>
    </row>
    <row r="13" spans="1:6">
      <c r="A13" s="7" t="str">
        <f t="shared" si="0"/>
        <v/>
      </c>
      <c r="B13" s="12" t="str">
        <f>IFERROR(REPLACE(INDEX(roadmap,1,ROW()),1,FIND("]",INDEX(roadmap,1,ROW())),""),"")</f>
        <v/>
      </c>
      <c r="C13" s="13" t="str">
        <f t="shared" si="1"/>
        <v/>
      </c>
    </row>
    <row r="14" spans="1:6" ht="16.2">
      <c r="A14" s="7" t="str">
        <f t="shared" si="0"/>
        <v/>
      </c>
      <c r="B14" s="12" t="str">
        <f>IFERROR(REPLACE(INDEX(roadmap,1,ROW()),1,FIND("]",INDEX(roadmap,1,ROW())),""),"")</f>
        <v/>
      </c>
      <c r="C14" s="13" t="str">
        <f t="shared" si="1"/>
        <v/>
      </c>
      <c r="D14" s="1"/>
    </row>
    <row r="15" spans="1:6">
      <c r="A15" s="7" t="str">
        <f t="shared" si="0"/>
        <v/>
      </c>
      <c r="B15" s="12" t="str">
        <f>IFERROR(REPLACE(INDEX(roadmap,1,ROW()),1,FIND("]",INDEX(roadmap,1,ROW())),""),"")</f>
        <v/>
      </c>
      <c r="C15" s="13" t="str">
        <f t="shared" si="1"/>
        <v/>
      </c>
    </row>
    <row r="16" spans="1:6">
      <c r="A16" s="7" t="str">
        <f t="shared" si="0"/>
        <v/>
      </c>
      <c r="B16" s="12" t="str">
        <f>IFERROR(REPLACE(INDEX(roadmap,1,ROW()),1,FIND("]",INDEX(roadmap,1,ROW())),""),"")</f>
        <v/>
      </c>
      <c r="C16" s="13" t="str">
        <f t="shared" si="1"/>
        <v/>
      </c>
    </row>
    <row r="17" spans="1:3">
      <c r="A17" s="7" t="str">
        <f t="shared" si="0"/>
        <v/>
      </c>
      <c r="B17" s="12" t="str">
        <f>IFERROR(REPLACE(INDEX(roadmap,1,ROW()),1,FIND("]",INDEX(roadmap,1,ROW())),""),"")</f>
        <v/>
      </c>
      <c r="C17" s="13" t="str">
        <f t="shared" si="1"/>
        <v/>
      </c>
    </row>
    <row r="18" spans="1:3">
      <c r="A18" s="7" t="str">
        <f t="shared" si="0"/>
        <v/>
      </c>
      <c r="B18" s="12" t="str">
        <f>IFERROR(REPLACE(INDEX(roadmap,1,ROW()),1,FIND("]",INDEX(roadmap,1,ROW())),""),"")</f>
        <v/>
      </c>
      <c r="C18" s="13" t="str">
        <f t="shared" si="1"/>
        <v/>
      </c>
    </row>
    <row r="19" spans="1:3">
      <c r="A19" s="7" t="str">
        <f t="shared" si="0"/>
        <v/>
      </c>
      <c r="B19" s="12" t="str">
        <f>IFERROR(REPLACE(INDEX(roadmap,1,ROW()),1,FIND("]",INDEX(roadmap,1,ROW())),""),"")</f>
        <v/>
      </c>
      <c r="C19" s="13" t="str">
        <f t="shared" si="1"/>
        <v/>
      </c>
    </row>
    <row r="20" spans="1:3">
      <c r="A20" s="7" t="str">
        <f t="shared" si="0"/>
        <v/>
      </c>
      <c r="B20" s="12" t="str">
        <f>IFERROR(REPLACE(INDEX(roadmap,1,ROW()),1,FIND("]",INDEX(roadmap,1,ROW())),""),"")</f>
        <v/>
      </c>
      <c r="C20" s="13" t="str">
        <f t="shared" si="1"/>
        <v/>
      </c>
    </row>
    <row r="21" spans="1:3">
      <c r="A21" s="7" t="str">
        <f t="shared" si="0"/>
        <v/>
      </c>
      <c r="B21" s="12" t="str">
        <f>IFERROR(REPLACE(INDEX(roadmap,1,ROW()),1,FIND("]",INDEX(roadmap,1,ROW())),""),"")</f>
        <v/>
      </c>
      <c r="C21" s="13" t="str">
        <f t="shared" si="1"/>
        <v/>
      </c>
    </row>
    <row r="22" spans="1:3">
      <c r="A22" s="7" t="str">
        <f t="shared" si="0"/>
        <v/>
      </c>
      <c r="B22" s="12" t="str">
        <f>IFERROR(REPLACE(INDEX(roadmap,1,ROW()),1,FIND("]",INDEX(roadmap,1,ROW())),""),"")</f>
        <v/>
      </c>
      <c r="C22" s="13" t="str">
        <f t="shared" si="1"/>
        <v/>
      </c>
    </row>
    <row r="23" spans="1:3">
      <c r="A23" s="7" t="str">
        <f t="shared" si="0"/>
        <v/>
      </c>
      <c r="B23" s="12" t="str">
        <f>IFERROR(REPLACE(INDEX(roadmap,1,ROW()),1,FIND("]",INDEX(roadmap,1,ROW())),""),"")</f>
        <v/>
      </c>
      <c r="C23" s="13" t="str">
        <f t="shared" si="1"/>
        <v/>
      </c>
    </row>
    <row r="24" spans="1:3">
      <c r="A24" s="7" t="str">
        <f t="shared" si="0"/>
        <v/>
      </c>
      <c r="B24" s="12" t="str">
        <f>IFERROR(REPLACE(INDEX(roadmap,1,ROW()),1,FIND("]",INDEX(roadmap,1,ROW())),""),"")</f>
        <v/>
      </c>
      <c r="C24" s="13" t="str">
        <f t="shared" si="1"/>
        <v/>
      </c>
    </row>
    <row r="25" spans="1:3">
      <c r="A25" s="7" t="str">
        <f t="shared" si="0"/>
        <v/>
      </c>
      <c r="B25" s="12" t="str">
        <f>IFERROR(REPLACE(INDEX(roadmap,1,ROW()),1,FIND("]",INDEX(roadmap,1,ROW())),""),"")</f>
        <v/>
      </c>
      <c r="C25" s="13" t="str">
        <f t="shared" si="1"/>
        <v/>
      </c>
    </row>
    <row r="26" spans="1:3">
      <c r="A26" s="7" t="str">
        <f t="shared" si="0"/>
        <v/>
      </c>
      <c r="B26" s="12" t="str">
        <f>IFERROR(REPLACE(INDEX(roadmap,1,ROW()),1,FIND("]",INDEX(roadmap,1,ROW())),""),"")</f>
        <v/>
      </c>
      <c r="C26" s="13" t="str">
        <f t="shared" si="1"/>
        <v/>
      </c>
    </row>
    <row r="27" spans="1:3">
      <c r="A27" s="7" t="str">
        <f t="shared" si="0"/>
        <v/>
      </c>
      <c r="B27" s="12" t="str">
        <f>IFERROR(REPLACE(INDEX(roadmap,1,ROW()),1,FIND("]",INDEX(roadmap,1,ROW())),""),"")</f>
        <v/>
      </c>
      <c r="C27" s="13" t="str">
        <f t="shared" si="1"/>
        <v/>
      </c>
    </row>
    <row r="28" spans="1:3">
      <c r="A28" s="7" t="str">
        <f t="shared" si="0"/>
        <v/>
      </c>
      <c r="B28" s="12" t="str">
        <f>IFERROR(REPLACE(INDEX(roadmap,1,ROW()),1,FIND("]",INDEX(roadmap,1,ROW())),""),"")</f>
        <v/>
      </c>
      <c r="C28" s="13" t="str">
        <f t="shared" si="1"/>
        <v/>
      </c>
    </row>
    <row r="29" spans="1:3">
      <c r="A29" s="7" t="str">
        <f t="shared" si="0"/>
        <v/>
      </c>
      <c r="B29" s="12" t="str">
        <f>IFERROR(REPLACE(INDEX(roadmap,1,ROW()),1,FIND("]",INDEX(roadmap,1,ROW())),""),"")</f>
        <v/>
      </c>
      <c r="C29" s="13" t="str">
        <f t="shared" si="1"/>
        <v/>
      </c>
    </row>
    <row r="30" spans="1:3">
      <c r="A30" s="7" t="str">
        <f t="shared" si="0"/>
        <v/>
      </c>
      <c r="B30" s="12" t="str">
        <f>IFERROR(REPLACE(INDEX(roadmap,1,ROW()),1,FIND("]",INDEX(roadmap,1,ROW())),""),"")</f>
        <v/>
      </c>
      <c r="C30" s="13" t="str">
        <f t="shared" si="1"/>
        <v/>
      </c>
    </row>
    <row r="31" spans="1:3">
      <c r="A31" s="7" t="str">
        <f t="shared" si="0"/>
        <v/>
      </c>
      <c r="B31" s="12" t="str">
        <f>IFERROR(REPLACE(INDEX(roadmap,1,ROW()),1,FIND("]",INDEX(roadmap,1,ROW())),""),"")</f>
        <v/>
      </c>
      <c r="C31" s="13" t="str">
        <f t="shared" si="1"/>
        <v/>
      </c>
    </row>
    <row r="32" spans="1:3">
      <c r="A32" s="7" t="str">
        <f t="shared" si="0"/>
        <v/>
      </c>
      <c r="B32" s="12" t="str">
        <f>IFERROR(REPLACE(INDEX(roadmap,1,ROW()),1,FIND("]",INDEX(roadmap,1,ROW())),""),"")</f>
        <v/>
      </c>
      <c r="C32" s="13" t="str">
        <f t="shared" si="1"/>
        <v/>
      </c>
    </row>
    <row r="33" spans="1:3">
      <c r="A33" s="7" t="str">
        <f t="shared" si="0"/>
        <v/>
      </c>
      <c r="B33" s="12" t="str">
        <f>IFERROR(REPLACE(INDEX(roadmap,1,ROW()),1,FIND("]",INDEX(roadmap,1,ROW())),""),"")</f>
        <v/>
      </c>
      <c r="C33" s="13" t="str">
        <f t="shared" si="1"/>
        <v/>
      </c>
    </row>
    <row r="34" spans="1:3">
      <c r="A34" s="7" t="str">
        <f t="shared" si="0"/>
        <v/>
      </c>
      <c r="B34" s="12" t="str">
        <f>IFERROR(REPLACE(INDEX(roadmap,1,ROW()),1,FIND("]",INDEX(roadmap,1,ROW())),""),"")</f>
        <v/>
      </c>
      <c r="C34" s="13" t="str">
        <f t="shared" si="1"/>
        <v/>
      </c>
    </row>
    <row r="35" spans="1:3">
      <c r="A35" s="7" t="str">
        <f t="shared" si="0"/>
        <v/>
      </c>
      <c r="B35" s="12" t="str">
        <f>IFERROR(REPLACE(INDEX(roadmap,1,ROW()),1,FIND("]",INDEX(roadmap,1,ROW())),""),"")</f>
        <v/>
      </c>
      <c r="C35" s="13" t="str">
        <f t="shared" si="1"/>
        <v/>
      </c>
    </row>
    <row r="36" spans="1:3">
      <c r="A36" s="7" t="str">
        <f t="shared" si="0"/>
        <v/>
      </c>
      <c r="B36" s="12" t="str">
        <f>IFERROR(REPLACE(INDEX(roadmap,1,ROW()),1,FIND("]",INDEX(roadmap,1,ROW())),""),"")</f>
        <v/>
      </c>
      <c r="C36" s="13" t="str">
        <f t="shared" si="1"/>
        <v/>
      </c>
    </row>
    <row r="37" spans="1:3">
      <c r="A37" s="7" t="str">
        <f t="shared" si="0"/>
        <v/>
      </c>
      <c r="B37" s="12" t="str">
        <f>IFERROR(REPLACE(INDEX(roadmap,1,ROW()),1,FIND("]",INDEX(roadmap,1,ROW())),""),"")</f>
        <v/>
      </c>
      <c r="C37" s="13" t="str">
        <f t="shared" si="1"/>
        <v/>
      </c>
    </row>
  </sheetData>
  <phoneticPr fontId="1" type="noConversion"/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438A6-FA01-44CC-B709-48536B24BB17}">
  <sheetPr codeName="Sheet13"/>
  <dimension ref="A1:F56"/>
  <sheetViews>
    <sheetView showGridLines="0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6" sqref="B56"/>
    </sheetView>
  </sheetViews>
  <sheetFormatPr defaultRowHeight="13.8"/>
  <cols>
    <col min="2" max="2" width="56" bestFit="1" customWidth="1"/>
    <col min="3" max="3" width="26.44140625" bestFit="1" customWidth="1"/>
    <col min="4" max="4" width="5.77734375" customWidth="1"/>
    <col min="5" max="5" width="22.21875" bestFit="1" customWidth="1"/>
    <col min="7" max="7" width="12.109375" bestFit="1" customWidth="1"/>
  </cols>
  <sheetData>
    <row r="1" spans="1:6">
      <c r="A1" s="2" t="s">
        <v>3</v>
      </c>
    </row>
    <row r="2" spans="1:6" ht="32.4">
      <c r="B2" s="10" t="s">
        <v>4</v>
      </c>
      <c r="C2" s="4"/>
      <c r="D2" s="4"/>
      <c r="E2" s="4"/>
    </row>
    <row r="4" spans="1:6" ht="17.399999999999999">
      <c r="B4" s="5" t="s">
        <v>12</v>
      </c>
      <c r="C4" s="14">
        <v>50</v>
      </c>
      <c r="E4" s="5" t="s">
        <v>11</v>
      </c>
      <c r="F4" s="14" cm="1">
        <f t="array" ref="F4">ESOValue(C4,C5,C6,C7,C8,C9,C10,C11,C12,C13)</f>
        <v>13.564559664269352</v>
      </c>
    </row>
    <row r="5" spans="1:6" ht="17.399999999999999">
      <c r="B5" s="5" t="s">
        <v>13</v>
      </c>
      <c r="C5" s="14">
        <v>50</v>
      </c>
      <c r="F5" s="16"/>
    </row>
    <row r="6" spans="1:6" ht="17.399999999999999">
      <c r="B6" s="5" t="s">
        <v>14</v>
      </c>
      <c r="C6" s="14">
        <v>10</v>
      </c>
    </row>
    <row r="7" spans="1:6" ht="17.399999999999999">
      <c r="B7" s="5" t="s">
        <v>15</v>
      </c>
      <c r="C7" s="14">
        <v>3</v>
      </c>
    </row>
    <row r="8" spans="1:6" ht="17.399999999999999">
      <c r="B8" s="5" t="s">
        <v>16</v>
      </c>
      <c r="C8" s="9">
        <v>0.05</v>
      </c>
    </row>
    <row r="9" spans="1:6" ht="17.399999999999999">
      <c r="B9" s="5" t="s">
        <v>17</v>
      </c>
      <c r="C9" s="9">
        <v>0.35</v>
      </c>
    </row>
    <row r="10" spans="1:6" ht="17.399999999999999">
      <c r="B10" s="5" t="s">
        <v>18</v>
      </c>
      <c r="C10" s="8">
        <v>2.5000000000000001E-2</v>
      </c>
    </row>
    <row r="11" spans="1:6" ht="17.399999999999999">
      <c r="B11" s="5" t="s">
        <v>19</v>
      </c>
      <c r="C11" s="9">
        <v>0.1</v>
      </c>
    </row>
    <row r="12" spans="1:6" ht="17.399999999999999">
      <c r="B12" s="5" t="s">
        <v>20</v>
      </c>
      <c r="C12" s="15">
        <v>3</v>
      </c>
    </row>
    <row r="13" spans="1:6" ht="17.399999999999999">
      <c r="B13" s="5" t="s">
        <v>21</v>
      </c>
      <c r="C13" s="15">
        <v>50</v>
      </c>
    </row>
    <row r="15" spans="1:6" ht="17.399999999999999">
      <c r="B15" s="5" t="s">
        <v>5</v>
      </c>
    </row>
    <row r="16" spans="1:6">
      <c r="B16" s="12" t="s">
        <v>6</v>
      </c>
    </row>
    <row r="17" spans="2:2">
      <c r="B17" s="12" t="s">
        <v>7</v>
      </c>
    </row>
    <row r="18" spans="2:2">
      <c r="B18" s="12" t="s">
        <v>8</v>
      </c>
    </row>
    <row r="19" spans="2:2">
      <c r="B19" s="12" t="s">
        <v>9</v>
      </c>
    </row>
    <row r="20" spans="2:2">
      <c r="B20" s="12" t="s">
        <v>10</v>
      </c>
    </row>
    <row r="44" spans="2:3" ht="17.399999999999999">
      <c r="B44" s="5" t="s">
        <v>22</v>
      </c>
    </row>
    <row r="45" spans="2:3" ht="17.399999999999999">
      <c r="B45" s="6" t="s">
        <v>23</v>
      </c>
      <c r="C45">
        <f>F4</f>
        <v>13.564559664269352</v>
      </c>
    </row>
    <row r="46" spans="2:3">
      <c r="B46" s="17">
        <v>0</v>
      </c>
      <c r="C46">
        <f t="dataTable" ref="C46:C53" dt2D="0" dtr="0" r1="C11"/>
        <v>20.173190869494647</v>
      </c>
    </row>
    <row r="47" spans="2:3">
      <c r="B47" s="17">
        <v>0.01</v>
      </c>
      <c r="C47">
        <v>19.362095292459731</v>
      </c>
    </row>
    <row r="48" spans="2:3">
      <c r="B48" s="17">
        <v>0.03</v>
      </c>
      <c r="C48">
        <v>17.853646016926589</v>
      </c>
    </row>
    <row r="49" spans="2:3">
      <c r="B49" s="17">
        <v>0.05</v>
      </c>
      <c r="C49">
        <v>16.482842529669373</v>
      </c>
    </row>
    <row r="50" spans="2:3">
      <c r="B50" s="17">
        <v>7.0000000000000007E-2</v>
      </c>
      <c r="C50">
        <v>15.234748368899142</v>
      </c>
    </row>
    <row r="51" spans="2:3">
      <c r="B51" s="17">
        <v>0.09</v>
      </c>
      <c r="C51">
        <v>14.096300616846284</v>
      </c>
    </row>
    <row r="52" spans="2:3">
      <c r="B52" s="17">
        <v>0.11</v>
      </c>
      <c r="C52">
        <v>13.056050620429058</v>
      </c>
    </row>
    <row r="53" spans="2:3">
      <c r="B53" s="17">
        <v>0.13</v>
      </c>
      <c r="C53">
        <v>12.103942811906744</v>
      </c>
    </row>
    <row r="54" spans="2:3">
      <c r="B54" s="17"/>
    </row>
    <row r="56" spans="2:3">
      <c r="C56" t="s">
        <v>24</v>
      </c>
    </row>
  </sheetData>
  <phoneticPr fontId="1" type="noConversion"/>
  <hyperlinks>
    <hyperlink ref="A1" location="目录!A1" display="back" xr:uid="{80D66358-10E0-4BA9-A99B-C1B1F6062714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目录</vt:lpstr>
      <vt:lpstr>计算员工认股权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2022-10-01T17:07:48Z</dcterms:created>
  <dcterms:modified xsi:type="dcterms:W3CDTF">2022-10-22T22:01:08Z</dcterms:modified>
  <cp:category/>
  <cp:contentStatus/>
</cp:coreProperties>
</file>