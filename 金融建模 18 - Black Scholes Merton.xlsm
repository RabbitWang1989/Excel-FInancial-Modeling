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filterPrivacy="1" codeName="ThisWorkbook" defaultThemeVersion="166925"/>
  <xr:revisionPtr revIDLastSave="0" documentId="13_ncr:1_{E27F7758-48CB-4432-AF6A-004412492F55}" xr6:coauthVersionLast="47" xr6:coauthVersionMax="47" xr10:uidLastSave="{00000000-0000-0000-0000-000000000000}"/>
  <bookViews>
    <workbookView xWindow="-6600" yWindow="-13068" windowWidth="23256" windowHeight="13176" xr2:uid="{F6A92337-4E2B-42AA-AEA7-AFF42319F4AB}"/>
  </bookViews>
  <sheets>
    <sheet name="目录" sheetId="2" r:id="rId1"/>
    <sheet name="Background" sheetId="37" r:id="rId2"/>
    <sheet name="ASimpleExample" sheetId="33" r:id="rId3"/>
    <sheet name="50EFTOption" sheetId="38" r:id="rId4"/>
    <sheet name="BinomialVSBS" sheetId="40" r:id="rId5"/>
    <sheet name="HistoricalVolatility" sheetId="39" r:id="rId6"/>
  </sheets>
  <functionGroups builtInGroupCount="19"/>
  <definedNames>
    <definedName name="_xlpm.r" hidden="1" xlm="1">#NAME?</definedName>
    <definedName name="rate">ASimpleExample!$C$14</definedName>
    <definedName name="roadmap">GET.WORKBOOK(1)</definedName>
    <definedName name="S">ASimpleExample!$C$12</definedName>
    <definedName name="Sigma">ASimpleExample!$C$16</definedName>
    <definedName name="T">ASimpleExample!$C$15</definedName>
    <definedName name="X">ASimpleExample!$C$13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39" l="1"/>
  <c r="F4" i="39"/>
  <c r="D6" i="39"/>
  <c r="D7" i="39"/>
  <c r="D8" i="39"/>
  <c r="D9" i="39"/>
  <c r="D10" i="39"/>
  <c r="D11" i="39"/>
  <c r="D12" i="39"/>
  <c r="D13" i="39"/>
  <c r="D14" i="39"/>
  <c r="D15" i="39"/>
  <c r="D16" i="39"/>
  <c r="D17" i="39"/>
  <c r="D18" i="39"/>
  <c r="D19" i="39"/>
  <c r="D20" i="39"/>
  <c r="D21" i="39"/>
  <c r="D22" i="39"/>
  <c r="D23" i="39"/>
  <c r="D24" i="39"/>
  <c r="D25" i="39"/>
  <c r="D26" i="39"/>
  <c r="D27" i="39"/>
  <c r="D28" i="39"/>
  <c r="D29" i="39"/>
  <c r="D30" i="39"/>
  <c r="D31" i="39"/>
  <c r="D32" i="39"/>
  <c r="D33" i="39"/>
  <c r="D34" i="39"/>
  <c r="D35" i="39"/>
  <c r="D36" i="39"/>
  <c r="D37" i="39"/>
  <c r="D38" i="39"/>
  <c r="D39" i="39"/>
  <c r="D40" i="39"/>
  <c r="D41" i="39"/>
  <c r="D42" i="39"/>
  <c r="D43" i="39"/>
  <c r="D44" i="39"/>
  <c r="D45" i="39"/>
  <c r="D46" i="39"/>
  <c r="D47" i="39"/>
  <c r="D48" i="39"/>
  <c r="D49" i="39"/>
  <c r="D50" i="39"/>
  <c r="D51" i="39"/>
  <c r="D52" i="39"/>
  <c r="D53" i="39"/>
  <c r="D54" i="39"/>
  <c r="D55" i="39"/>
  <c r="D56" i="39"/>
  <c r="D57" i="39"/>
  <c r="D58" i="39"/>
  <c r="D59" i="39"/>
  <c r="D60" i="39"/>
  <c r="D61" i="39"/>
  <c r="D62" i="39"/>
  <c r="D63" i="39"/>
  <c r="D64" i="39"/>
  <c r="D65" i="39"/>
  <c r="D66" i="39"/>
  <c r="D67" i="39"/>
  <c r="D68" i="39"/>
  <c r="D69" i="39"/>
  <c r="D70" i="39"/>
  <c r="D71" i="39"/>
  <c r="D72" i="39"/>
  <c r="D73" i="39"/>
  <c r="D74" i="39"/>
  <c r="D75" i="39"/>
  <c r="D76" i="39"/>
  <c r="D77" i="39"/>
  <c r="D78" i="39"/>
  <c r="D79" i="39"/>
  <c r="D80" i="39"/>
  <c r="D81" i="39"/>
  <c r="D82" i="39"/>
  <c r="D83" i="39"/>
  <c r="D84" i="39"/>
  <c r="D85" i="39"/>
  <c r="D86" i="39"/>
  <c r="D87" i="39"/>
  <c r="D88" i="39"/>
  <c r="D89" i="39"/>
  <c r="D90" i="39"/>
  <c r="D91" i="39"/>
  <c r="D92" i="39"/>
  <c r="D93" i="39"/>
  <c r="D94" i="39"/>
  <c r="D95" i="39"/>
  <c r="D96" i="39"/>
  <c r="D97" i="39"/>
  <c r="D98" i="39"/>
  <c r="D99" i="39"/>
  <c r="D100" i="39"/>
  <c r="D101" i="39"/>
  <c r="D102" i="39"/>
  <c r="D103" i="39"/>
  <c r="D104" i="39"/>
  <c r="D105" i="39"/>
  <c r="D106" i="39"/>
  <c r="D107" i="39"/>
  <c r="D108" i="39"/>
  <c r="D109" i="39"/>
  <c r="D110" i="39"/>
  <c r="D111" i="39"/>
  <c r="D112" i="39"/>
  <c r="D113" i="39"/>
  <c r="D114" i="39"/>
  <c r="D115" i="39"/>
  <c r="D116" i="39"/>
  <c r="D117" i="39"/>
  <c r="D118" i="39"/>
  <c r="D119" i="39"/>
  <c r="D120" i="39"/>
  <c r="D121" i="39"/>
  <c r="D122" i="39"/>
  <c r="D123" i="39"/>
  <c r="D124" i="39"/>
  <c r="D125" i="39"/>
  <c r="D126" i="39"/>
  <c r="D127" i="39"/>
  <c r="D128" i="39"/>
  <c r="D129" i="39"/>
  <c r="D130" i="39"/>
  <c r="D131" i="39"/>
  <c r="D132" i="39"/>
  <c r="D133" i="39"/>
  <c r="D134" i="39"/>
  <c r="D135" i="39"/>
  <c r="D136" i="39"/>
  <c r="D137" i="39"/>
  <c r="D138" i="39"/>
  <c r="D139" i="39"/>
  <c r="D140" i="39"/>
  <c r="D141" i="39"/>
  <c r="D142" i="39"/>
  <c r="D143" i="39"/>
  <c r="D144" i="39"/>
  <c r="D145" i="39"/>
  <c r="D146" i="39"/>
  <c r="D147" i="39"/>
  <c r="D148" i="39"/>
  <c r="D149" i="39"/>
  <c r="D150" i="39"/>
  <c r="D151" i="39"/>
  <c r="D152" i="39"/>
  <c r="D153" i="39"/>
  <c r="D154" i="39"/>
  <c r="D155" i="39"/>
  <c r="D156" i="39"/>
  <c r="D157" i="39"/>
  <c r="D158" i="39"/>
  <c r="D159" i="39"/>
  <c r="D160" i="39"/>
  <c r="D161" i="39"/>
  <c r="D162" i="39"/>
  <c r="D163" i="39"/>
  <c r="D164" i="39"/>
  <c r="D165" i="39"/>
  <c r="D166" i="39"/>
  <c r="D167" i="39"/>
  <c r="D168" i="39"/>
  <c r="D169" i="39"/>
  <c r="D170" i="39"/>
  <c r="D171" i="39"/>
  <c r="D172" i="39"/>
  <c r="D173" i="39"/>
  <c r="D174" i="39"/>
  <c r="D175" i="39"/>
  <c r="D176" i="39"/>
  <c r="D177" i="39"/>
  <c r="D178" i="39"/>
  <c r="D179" i="39"/>
  <c r="D180" i="39"/>
  <c r="D181" i="39"/>
  <c r="D182" i="39"/>
  <c r="D183" i="39"/>
  <c r="D184" i="39"/>
  <c r="D185" i="39"/>
  <c r="D186" i="39"/>
  <c r="D187" i="39"/>
  <c r="D188" i="39"/>
  <c r="D189" i="39"/>
  <c r="D190" i="39"/>
  <c r="D191" i="39"/>
  <c r="D192" i="39"/>
  <c r="D193" i="39"/>
  <c r="D194" i="39"/>
  <c r="D195" i="39"/>
  <c r="D196" i="39"/>
  <c r="D197" i="39"/>
  <c r="D198" i="39"/>
  <c r="D199" i="39"/>
  <c r="D200" i="39"/>
  <c r="D201" i="39"/>
  <c r="D202" i="39"/>
  <c r="D203" i="39"/>
  <c r="D204" i="39"/>
  <c r="D205" i="39"/>
  <c r="D206" i="39"/>
  <c r="D207" i="39"/>
  <c r="D208" i="39"/>
  <c r="D209" i="39"/>
  <c r="D210" i="39"/>
  <c r="D211" i="39"/>
  <c r="D212" i="39"/>
  <c r="D213" i="39"/>
  <c r="D214" i="39"/>
  <c r="D215" i="39"/>
  <c r="D216" i="39"/>
  <c r="D217" i="39"/>
  <c r="D218" i="39"/>
  <c r="D219" i="39"/>
  <c r="D220" i="39"/>
  <c r="D221" i="39"/>
  <c r="D222" i="39"/>
  <c r="D223" i="39"/>
  <c r="D224" i="39"/>
  <c r="D225" i="39"/>
  <c r="D226" i="39"/>
  <c r="D227" i="39"/>
  <c r="D228" i="39"/>
  <c r="D229" i="39"/>
  <c r="D230" i="39"/>
  <c r="D231" i="39"/>
  <c r="D232" i="39"/>
  <c r="D233" i="39"/>
  <c r="D234" i="39"/>
  <c r="D235" i="39"/>
  <c r="D236" i="39"/>
  <c r="D237" i="39"/>
  <c r="D238" i="39"/>
  <c r="D239" i="39"/>
  <c r="D240" i="39"/>
  <c r="D241" i="39"/>
  <c r="D242" i="39"/>
  <c r="D243" i="39"/>
  <c r="D244" i="39"/>
  <c r="D245" i="39"/>
  <c r="D246" i="39"/>
  <c r="D247" i="39"/>
  <c r="D248" i="39"/>
  <c r="D249" i="39"/>
  <c r="D250" i="39"/>
  <c r="D251" i="39"/>
  <c r="D252" i="39"/>
  <c r="D253" i="39"/>
  <c r="D5" i="39"/>
  <c r="D35" i="40"/>
  <c r="C24" i="40"/>
  <c r="C26" i="40" s="1"/>
  <c r="C29" i="40" s="1"/>
  <c r="F18" i="38"/>
  <c r="E17" i="38"/>
  <c r="E16" i="38"/>
  <c r="D17" i="38"/>
  <c r="D16" i="38"/>
  <c r="D9" i="38"/>
  <c r="E29" i="33"/>
  <c r="E30" i="33"/>
  <c r="E31" i="33"/>
  <c r="E32" i="33"/>
  <c r="E33" i="33"/>
  <c r="E34" i="33"/>
  <c r="E35" i="33"/>
  <c r="E36" i="33"/>
  <c r="E37" i="33"/>
  <c r="E38" i="33"/>
  <c r="E39" i="33"/>
  <c r="E40" i="33"/>
  <c r="E41" i="33"/>
  <c r="E42" i="33"/>
  <c r="E43" i="33"/>
  <c r="E44" i="33"/>
  <c r="E28" i="33"/>
  <c r="D29" i="33"/>
  <c r="D30" i="33"/>
  <c r="D31" i="33"/>
  <c r="D32" i="33"/>
  <c r="D33" i="33"/>
  <c r="D34" i="33"/>
  <c r="D35" i="33"/>
  <c r="D36" i="33"/>
  <c r="D37" i="33"/>
  <c r="D38" i="33"/>
  <c r="D39" i="33"/>
  <c r="D40" i="33"/>
  <c r="D41" i="33"/>
  <c r="D42" i="33"/>
  <c r="D43" i="33"/>
  <c r="D44" i="33"/>
  <c r="D28" i="33"/>
  <c r="C18" i="33"/>
  <c r="C21" i="33" s="1"/>
  <c r="B38" i="40"/>
  <c r="B39" i="40" s="1"/>
  <c r="B40" i="40" s="1"/>
  <c r="B41" i="40" s="1"/>
  <c r="B42" i="40" s="1"/>
  <c r="B43" i="40" s="1"/>
  <c r="B44" i="40" s="1"/>
  <c r="B45" i="40" s="1"/>
  <c r="B46" i="40" s="1"/>
  <c r="B47" i="40" s="1"/>
  <c r="B48" i="40" s="1"/>
  <c r="B49" i="40" s="1"/>
  <c r="B50" i="40" s="1"/>
  <c r="B51" i="40" s="1"/>
  <c r="B52" i="40" s="1"/>
  <c r="B53" i="40" s="1"/>
  <c r="B54" i="40" s="1"/>
  <c r="B55" i="40" s="1"/>
  <c r="B56" i="40" s="1"/>
  <c r="B57" i="40" s="1"/>
  <c r="B58" i="40" s="1"/>
  <c r="B59" i="40" s="1"/>
  <c r="B60" i="40" s="1"/>
  <c r="B61" i="40" s="1"/>
  <c r="B62" i="40" s="1"/>
  <c r="B63" i="40" s="1"/>
  <c r="B64" i="40" s="1"/>
  <c r="B65" i="40" s="1"/>
  <c r="B66" i="40" s="1"/>
  <c r="B67" i="40" s="1"/>
  <c r="B68" i="40" s="1"/>
  <c r="B69" i="40" s="1"/>
  <c r="B70" i="40" s="1"/>
  <c r="B71" i="40" s="1"/>
  <c r="B72" i="40" s="1"/>
  <c r="B73" i="40" s="1"/>
  <c r="B74" i="40" s="1"/>
  <c r="B75" i="40" s="1"/>
  <c r="B37" i="40"/>
  <c r="E18" i="40"/>
  <c r="F18" i="40" s="1"/>
  <c r="E17" i="40"/>
  <c r="E16" i="40"/>
  <c r="D17" i="40"/>
  <c r="D16" i="40"/>
  <c r="C9" i="40"/>
  <c r="B18" i="40" s="1"/>
  <c r="C9" i="38"/>
  <c r="B18" i="38" s="1"/>
  <c r="C20" i="38" a="1"/>
  <c r="C49" i="33" a="1"/>
  <c r="C48" i="33" a="1"/>
  <c r="B4" i="2"/>
  <c r="B6" i="2"/>
  <c r="B5" i="2"/>
  <c r="B3" i="2"/>
  <c r="D25" i="40"/>
  <c r="D29" i="40"/>
  <c r="D26" i="40"/>
  <c r="D30" i="40"/>
  <c r="D27" i="40"/>
  <c r="D28" i="40"/>
  <c r="D24" i="40"/>
  <c r="C20" i="40" a="1"/>
  <c r="C27" i="40" l="1"/>
  <c r="C30" i="40" s="1"/>
  <c r="C25" i="40"/>
  <c r="C28" i="40" s="1"/>
  <c r="C20" i="38"/>
  <c r="C49" i="33"/>
  <c r="C48" i="33"/>
  <c r="C19" i="33"/>
  <c r="C22" i="33" s="1"/>
  <c r="C24" i="33" s="1"/>
  <c r="A3" i="2"/>
  <c r="C3" i="2"/>
  <c r="C5" i="2"/>
  <c r="A5" i="2"/>
  <c r="C6" i="2"/>
  <c r="A6" i="2"/>
  <c r="A4" i="2"/>
  <c r="C4" i="2"/>
  <c r="C20" i="40"/>
  <c r="C22" i="40" a="1"/>
  <c r="C22" i="40" l="1"/>
  <c r="C35" i="40" s="1"/>
  <c r="C27" i="33"/>
  <c r="C25" i="33"/>
  <c r="D25" i="33"/>
  <c r="D24" i="33"/>
  <c r="D22" i="33"/>
  <c r="D21" i="33"/>
  <c r="D19" i="33"/>
  <c r="D18" i="33"/>
  <c r="B2" i="2"/>
  <c r="B30" i="33" l="1"/>
  <c r="B31" i="33" l="1"/>
  <c r="B23" i="2"/>
  <c r="B25" i="2"/>
  <c r="B7" i="2"/>
  <c r="B19" i="2"/>
  <c r="B26" i="2"/>
  <c r="B22" i="2"/>
  <c r="B34" i="2"/>
  <c r="B28" i="2"/>
  <c r="B31" i="2"/>
  <c r="B35" i="2"/>
  <c r="B21" i="2"/>
  <c r="B33" i="2"/>
  <c r="B16" i="2"/>
  <c r="B10" i="2"/>
  <c r="B29" i="2"/>
  <c r="B15" i="2"/>
  <c r="B12" i="2"/>
  <c r="B24" i="2"/>
  <c r="B14" i="2"/>
  <c r="B9" i="2"/>
  <c r="B17" i="2"/>
  <c r="B37" i="2"/>
  <c r="B13" i="2"/>
  <c r="B36" i="2"/>
  <c r="B30" i="2"/>
  <c r="B11" i="2"/>
  <c r="B32" i="2"/>
  <c r="B18" i="2"/>
  <c r="B8" i="2"/>
  <c r="B20" i="2"/>
  <c r="B27" i="2"/>
  <c r="B32" i="33" l="1"/>
  <c r="A2" i="2"/>
  <c r="C28" i="2"/>
  <c r="A28" i="2"/>
  <c r="A27" i="2"/>
  <c r="C27" i="2"/>
  <c r="A32" i="2"/>
  <c r="C32" i="2"/>
  <c r="A31" i="2"/>
  <c r="C31" i="2"/>
  <c r="C34" i="2"/>
  <c r="A34" i="2"/>
  <c r="C14" i="2"/>
  <c r="A14" i="2"/>
  <c r="C11" i="2"/>
  <c r="A11" i="2"/>
  <c r="A12" i="2"/>
  <c r="C12" i="2"/>
  <c r="A22" i="2"/>
  <c r="C22" i="2"/>
  <c r="C21" i="2"/>
  <c r="A21" i="2"/>
  <c r="C30" i="2"/>
  <c r="A30" i="2"/>
  <c r="A15" i="2"/>
  <c r="C15" i="2"/>
  <c r="C26" i="2"/>
  <c r="A26" i="2"/>
  <c r="C2" i="2"/>
  <c r="C20" i="2"/>
  <c r="A20" i="2"/>
  <c r="C36" i="2"/>
  <c r="A36" i="2"/>
  <c r="C29" i="2"/>
  <c r="A29" i="2"/>
  <c r="A19" i="2"/>
  <c r="C19" i="2"/>
  <c r="A35" i="2"/>
  <c r="C35" i="2"/>
  <c r="C13" i="2"/>
  <c r="A13" i="2"/>
  <c r="A10" i="2"/>
  <c r="C10" i="2"/>
  <c r="A7" i="2"/>
  <c r="C7" i="2"/>
  <c r="C8" i="2"/>
  <c r="A8" i="2"/>
  <c r="C37" i="2"/>
  <c r="A37" i="2"/>
  <c r="C16" i="2"/>
  <c r="A16" i="2"/>
  <c r="C25" i="2"/>
  <c r="A25" i="2"/>
  <c r="C24" i="2"/>
  <c r="A24" i="2"/>
  <c r="A17" i="2"/>
  <c r="C17" i="2"/>
  <c r="C33" i="2"/>
  <c r="A33" i="2"/>
  <c r="C23" i="2"/>
  <c r="A23" i="2"/>
  <c r="C18" i="2"/>
  <c r="A18" i="2"/>
  <c r="A9" i="2"/>
  <c r="C9" i="2"/>
  <c r="B33" i="33" l="1"/>
  <c r="B34" i="33" l="1"/>
  <c r="B35" i="33" l="1"/>
  <c r="B36" i="33" l="1"/>
  <c r="B37" i="33" l="1"/>
  <c r="B38" i="33" l="1"/>
  <c r="B39" i="33" l="1"/>
  <c r="B40" i="33" l="1"/>
  <c r="B41" i="33" l="1"/>
  <c r="B42" i="33" l="1"/>
  <c r="B43" i="33" l="1"/>
  <c r="B44" i="3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<sst xmlns="http://schemas.openxmlformats.org/spreadsheetml/2006/main" count="106" uniqueCount="80">
  <si>
    <t>序号</t>
    <phoneticPr fontId="1" type="noConversion"/>
  </si>
  <si>
    <t>目录</t>
    <phoneticPr fontId="1" type="noConversion"/>
  </si>
  <si>
    <t>链接</t>
    <phoneticPr fontId="1" type="noConversion"/>
  </si>
  <si>
    <t>Back</t>
    <phoneticPr fontId="1" type="noConversion"/>
  </si>
  <si>
    <t>R</t>
    <phoneticPr fontId="1" type="noConversion"/>
  </si>
  <si>
    <t>Call Price</t>
    <phoneticPr fontId="1" type="noConversion"/>
  </si>
  <si>
    <t>Put Price</t>
    <phoneticPr fontId="1" type="noConversion"/>
  </si>
  <si>
    <t>Stock Price</t>
    <phoneticPr fontId="1" type="noConversion"/>
  </si>
  <si>
    <t>CallPriceWithVBA</t>
    <phoneticPr fontId="1" type="noConversion"/>
  </si>
  <si>
    <t>PutPriceWithVBA</t>
    <phoneticPr fontId="1" type="noConversion"/>
  </si>
  <si>
    <t>到期日</t>
    <phoneticPr fontId="1" type="noConversion"/>
  </si>
  <si>
    <t>合约简称：</t>
    <phoneticPr fontId="1" type="noConversion"/>
  </si>
  <si>
    <t>起始日</t>
    <phoneticPr fontId="1" type="noConversion"/>
  </si>
  <si>
    <t>天数</t>
    <phoneticPr fontId="1" type="noConversion"/>
  </si>
  <si>
    <t>Background Information</t>
    <phoneticPr fontId="1" type="noConversion"/>
  </si>
  <si>
    <t>Black–Scholes–Merton model 20世界最伟大的金融公式</t>
    <phoneticPr fontId="1" type="noConversion"/>
  </si>
  <si>
    <t>布莱克和斯克尔在1973年在《期权定价和公司债》发文，该文根据1966年至1969年间期权交易</t>
    <phoneticPr fontId="1" type="noConversion"/>
  </si>
  <si>
    <t>数据进行分析，给出了期权定价公式。</t>
    <phoneticPr fontId="1" type="noConversion"/>
  </si>
  <si>
    <t>后来，斯科尔斯和默顿又进一步发展了这一个方程，为包括股票、债券、货币、商品在内的新兴</t>
    <phoneticPr fontId="1" type="noConversion"/>
  </si>
  <si>
    <t>衍生品市场的各种亿市场价格变动的衍生金融工具的合理定价奠定了基础。</t>
    <phoneticPr fontId="1" type="noConversion"/>
  </si>
  <si>
    <r>
      <t>S</t>
    </r>
    <r>
      <rPr>
        <sz val="9"/>
        <color rgb="FF222222"/>
        <rFont val="宋体"/>
        <family val="2"/>
        <charset val="134"/>
      </rPr>
      <t>：</t>
    </r>
    <r>
      <rPr>
        <sz val="9"/>
        <color rgb="FF222222"/>
        <rFont val="微软雅黑"/>
        <family val="2"/>
        <charset val="134"/>
      </rPr>
      <t>表示股票当前的价格</t>
    </r>
    <phoneticPr fontId="1" type="noConversion"/>
  </si>
  <si>
    <t>T：表示行权价格距离现在到期日</t>
    <phoneticPr fontId="1" type="noConversion"/>
  </si>
  <si>
    <t>N：表示正态分布</t>
    <phoneticPr fontId="1" type="noConversion"/>
  </si>
  <si>
    <t>б：表示波动率</t>
    <phoneticPr fontId="1" type="noConversion"/>
  </si>
  <si>
    <t>B-S模型有7个重要的假设</t>
    <phoneticPr fontId="1" type="noConversion"/>
  </si>
  <si>
    <t>1、股票价格行为服从对数正态分布模式；</t>
    <phoneticPr fontId="1" type="noConversion"/>
  </si>
  <si>
    <t>2、在期权有效期内，无风险利率和金融资产收益变量是恒定的；</t>
    <phoneticPr fontId="1" type="noConversion"/>
  </si>
  <si>
    <t>3、市场无摩擦，即不存在税收和交易成本，所有证券完全可分割；</t>
    <phoneticPr fontId="1" type="noConversion"/>
  </si>
  <si>
    <t>4、金融资产在期权有效期内无红利及其它所得(该假设后被放弃)；</t>
    <phoneticPr fontId="1" type="noConversion"/>
  </si>
  <si>
    <t>5、该期权是欧式期权，即在期权到期前不可实施。</t>
    <phoneticPr fontId="1" type="noConversion"/>
  </si>
  <si>
    <t>6、不存在无风险套利机会；</t>
    <phoneticPr fontId="1" type="noConversion"/>
  </si>
  <si>
    <t>7、证券交易是持续的；</t>
    <phoneticPr fontId="1" type="noConversion"/>
  </si>
  <si>
    <t>X：表示期权的执行价格</t>
    <phoneticPr fontId="1" type="noConversion"/>
  </si>
  <si>
    <t>股票目前价格</t>
    <phoneticPr fontId="1" type="noConversion"/>
  </si>
  <si>
    <t>执行价格</t>
    <phoneticPr fontId="1" type="noConversion"/>
  </si>
  <si>
    <t>无风险利率</t>
    <phoneticPr fontId="1" type="noConversion"/>
  </si>
  <si>
    <t>期权到期时间</t>
    <phoneticPr fontId="1" type="noConversion"/>
  </si>
  <si>
    <t>股票波动率</t>
    <phoneticPr fontId="1" type="noConversion"/>
  </si>
  <si>
    <r>
      <t>d</t>
    </r>
    <r>
      <rPr>
        <b/>
        <vertAlign val="subscript"/>
        <sz val="11"/>
        <color theme="0"/>
        <rFont val="等线"/>
        <family val="3"/>
        <charset val="134"/>
        <scheme val="minor"/>
      </rPr>
      <t>1</t>
    </r>
    <phoneticPr fontId="1" type="noConversion"/>
  </si>
  <si>
    <r>
      <t>d</t>
    </r>
    <r>
      <rPr>
        <b/>
        <vertAlign val="subscript"/>
        <sz val="11"/>
        <color theme="0"/>
        <rFont val="等线"/>
        <family val="3"/>
        <charset val="134"/>
        <scheme val="minor"/>
      </rPr>
      <t>2</t>
    </r>
    <phoneticPr fontId="1" type="noConversion"/>
  </si>
  <si>
    <r>
      <t>N(d</t>
    </r>
    <r>
      <rPr>
        <b/>
        <vertAlign val="subscript"/>
        <sz val="11"/>
        <color theme="0"/>
        <rFont val="等线"/>
        <family val="3"/>
        <charset val="134"/>
        <scheme val="minor"/>
      </rPr>
      <t>1</t>
    </r>
    <r>
      <rPr>
        <b/>
        <sz val="11"/>
        <color theme="0"/>
        <rFont val="等线"/>
        <family val="3"/>
        <charset val="134"/>
        <scheme val="minor"/>
      </rPr>
      <t>)</t>
    </r>
    <phoneticPr fontId="1" type="noConversion"/>
  </si>
  <si>
    <r>
      <t>N(d</t>
    </r>
    <r>
      <rPr>
        <b/>
        <vertAlign val="subscript"/>
        <sz val="11"/>
        <color theme="0"/>
        <rFont val="等线"/>
        <family val="3"/>
        <charset val="134"/>
        <scheme val="minor"/>
      </rPr>
      <t>2</t>
    </r>
    <r>
      <rPr>
        <b/>
        <sz val="11"/>
        <color theme="0"/>
        <rFont val="等线"/>
        <family val="3"/>
        <charset val="134"/>
        <scheme val="minor"/>
      </rPr>
      <t>)</t>
    </r>
    <phoneticPr fontId="1" type="noConversion"/>
  </si>
  <si>
    <t>一个简单的案例 (用Excel公式或者VBA）</t>
    <phoneticPr fontId="1" type="noConversion"/>
  </si>
  <si>
    <t>上证50ETF期权BS定价</t>
    <phoneticPr fontId="1" type="noConversion"/>
  </si>
  <si>
    <t>证券代码：</t>
    <phoneticPr fontId="1" type="noConversion"/>
  </si>
  <si>
    <t>510050</t>
    <phoneticPr fontId="1" type="noConversion"/>
  </si>
  <si>
    <t>名称：</t>
    <phoneticPr fontId="1" type="noConversion"/>
  </si>
  <si>
    <t>50ETF</t>
    <phoneticPr fontId="1" type="noConversion"/>
  </si>
  <si>
    <t>当前价格：</t>
    <phoneticPr fontId="1" type="noConversion"/>
  </si>
  <si>
    <t>到期时间：</t>
    <phoneticPr fontId="1" type="noConversion"/>
  </si>
  <si>
    <t>到期月份的第四个星期三（遇法定节假日顺延）</t>
    <phoneticPr fontId="1" type="noConversion"/>
  </si>
  <si>
    <t>今日日期：</t>
    <phoneticPr fontId="1" type="noConversion"/>
  </si>
  <si>
    <t>剩余天数：</t>
    <phoneticPr fontId="1" type="noConversion"/>
  </si>
  <si>
    <t>期权合约代码：</t>
    <phoneticPr fontId="1" type="noConversion"/>
  </si>
  <si>
    <t>波动率：</t>
    <phoneticPr fontId="1" type="noConversion"/>
  </si>
  <si>
    <t>510050C2212M03100</t>
    <phoneticPr fontId="1" type="noConversion"/>
  </si>
  <si>
    <t>50ETF购12月3100</t>
    <phoneticPr fontId="1" type="noConversion"/>
  </si>
  <si>
    <t>行权价格：</t>
    <phoneticPr fontId="1" type="noConversion"/>
  </si>
  <si>
    <t>Shibor 1M</t>
    <phoneticPr fontId="1" type="noConversion"/>
  </si>
  <si>
    <t>Shibor 2M</t>
    <phoneticPr fontId="1" type="noConversion"/>
  </si>
  <si>
    <t>利率</t>
    <phoneticPr fontId="1" type="noConversion"/>
  </si>
  <si>
    <t>BS计算的Call价格</t>
    <phoneticPr fontId="1" type="noConversion"/>
  </si>
  <si>
    <t>日期</t>
  </si>
  <si>
    <t>收盘</t>
  </si>
  <si>
    <t>上证50ETF历史波动率</t>
    <phoneticPr fontId="1" type="noConversion"/>
  </si>
  <si>
    <t>收益率</t>
    <phoneticPr fontId="1" type="noConversion"/>
  </si>
  <si>
    <t>日波动率</t>
    <phoneticPr fontId="1" type="noConversion"/>
  </si>
  <si>
    <t>二叉树 VS BS Model</t>
    <phoneticPr fontId="1" type="noConversion"/>
  </si>
  <si>
    <t>二叉树计算的Call价格</t>
    <phoneticPr fontId="1" type="noConversion"/>
  </si>
  <si>
    <t>n</t>
    <phoneticPr fontId="1" type="noConversion"/>
  </si>
  <si>
    <t>U</t>
    <phoneticPr fontId="1" type="noConversion"/>
  </si>
  <si>
    <t>t</t>
    <phoneticPr fontId="1" type="noConversion"/>
  </si>
  <si>
    <t>D</t>
    <phoneticPr fontId="1" type="noConversion"/>
  </si>
  <si>
    <t>r</t>
    <phoneticPr fontId="1" type="noConversion"/>
  </si>
  <si>
    <t>u</t>
    <phoneticPr fontId="1" type="noConversion"/>
  </si>
  <si>
    <t>d</t>
    <phoneticPr fontId="1" type="noConversion"/>
  </si>
  <si>
    <t>二叉树定价</t>
    <phoneticPr fontId="1" type="noConversion"/>
  </si>
  <si>
    <t>BS定价</t>
    <phoneticPr fontId="1" type="noConversion"/>
  </si>
  <si>
    <t>内在价值</t>
    <phoneticPr fontId="1" type="noConversion"/>
  </si>
  <si>
    <t>Shibor 3M</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</si>
</sst>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
    <numFmt numFmtId="179" formatCode="0.0000%"/>
    <numFmt numFmtId="184" formatCode="0.0000_ "/>
    <numFmt numFmtId="187" formatCode="0.00_ "/>
    <numFmt numFmtId="188" formatCode="yyyy\-mm\-dd"/>
    <numFmt numFmtId="190" formatCode="0.000%"/>
    <numFmt numFmtId="192" formatCode="#,##0.000000000000000000_ "/>
  </numFmts>
  <fonts count="13" x14ac:knownFonts="1">
    <font>
      <sz val="11"/>
      <color theme="1"/>
      <name val="等线"/>
      <family val="2"/>
      <charset val="134"/>
      <scheme val="minor"/>
    </font>
    <font>
      <sz val="9"/>
      <name val="等线"/>
      <family val="2"/>
      <charset val="134"/>
      <scheme val="minor"/>
    </font>
    <font>
      <u/>
      <sz val="11"/>
      <color theme="10"/>
      <name val="等线"/>
      <family val="2"/>
      <charset val="134"/>
      <scheme val="minor"/>
    </font>
    <font>
      <b/>
      <sz val="11"/>
      <color theme="0"/>
      <name val="等线"/>
      <family val="2"/>
      <scheme val="minor"/>
    </font>
    <font>
      <b/>
      <sz val="11"/>
      <color theme="1"/>
      <name val="等线"/>
      <family val="3"/>
      <charset val="134"/>
      <scheme val="minor"/>
    </font>
    <font>
      <u/>
      <sz val="11"/>
      <color theme="10"/>
      <name val="等线"/>
      <family val="3"/>
      <charset val="134"/>
      <scheme val="minor"/>
    </font>
    <font>
      <b/>
      <sz val="11"/>
      <color theme="0"/>
      <name val="等线"/>
      <family val="3"/>
      <charset val="134"/>
      <scheme val="minor"/>
    </font>
    <font>
      <b/>
      <sz val="16"/>
      <color theme="0"/>
      <name val="等线"/>
      <family val="3"/>
      <charset val="134"/>
      <scheme val="minor"/>
    </font>
    <font>
      <sz val="10"/>
      <color rgb="FF33353C"/>
      <name val="微软雅黑"/>
      <family val="2"/>
      <charset val="134"/>
    </font>
    <font>
      <sz val="9"/>
      <color rgb="FF222222"/>
      <name val="Arial"/>
      <family val="2"/>
    </font>
    <font>
      <sz val="9"/>
      <color rgb="FF222222"/>
      <name val="微软雅黑"/>
      <family val="2"/>
      <charset val="134"/>
    </font>
    <font>
      <sz val="9"/>
      <color rgb="FF222222"/>
      <name val="宋体"/>
      <family val="2"/>
      <charset val="134"/>
    </font>
    <font>
      <b/>
      <vertAlign val="subscript"/>
      <sz val="11"/>
      <color theme="0"/>
      <name val="等线"/>
      <family val="3"/>
      <charset val="134"/>
      <scheme val="minor"/>
    </font>
  </fonts>
  <fills count="4">
    <fill>
      <patternFill patternType="none"/>
    </fill>
    <fill>
      <patternFill patternType="gray125"/>
    </fill>
    <fill>
      <patternFill patternType="solid">
        <fgColor theme="4" tint="-0.499984740745262"/>
        <bgColor indexed="64"/>
      </patternFill>
    </fill>
    <fill>
      <patternFill patternType="solid">
        <fgColor theme="7"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27">
    <xf numFmtId="0" fontId="0" fillId="0" borderId="0" xfId="0">
      <alignment vertical="center"/>
    </xf>
    <xf numFmtId="0" fontId="4" fillId="0" borderId="0" xfId="0" applyFont="1" applyAlignment="1">
      <alignment horizontal="center" vertical="center"/>
    </xf>
    <xf numFmtId="0" fontId="3" fillId="2" borderId="0" xfId="0" applyFont="1" applyFill="1" applyAlignment="1">
      <alignment horizontal="center" vertical="center"/>
    </xf>
    <xf numFmtId="0" fontId="4" fillId="0" borderId="0" xfId="0" applyFont="1">
      <alignment vertical="center"/>
    </xf>
    <xf numFmtId="0" fontId="5" fillId="0" borderId="0" xfId="1" applyFont="1" applyBorder="1" applyAlignment="1">
      <alignment horizontal="center" vertical="center"/>
    </xf>
    <xf numFmtId="0" fontId="2" fillId="0" borderId="0" xfId="1" applyFill="1">
      <alignment vertical="center"/>
    </xf>
    <xf numFmtId="10" fontId="0" fillId="0" borderId="0" xfId="0" applyNumberFormat="1">
      <alignment vertical="center"/>
    </xf>
    <xf numFmtId="14" fontId="0" fillId="0" borderId="0" xfId="0" applyNumberFormat="1">
      <alignment vertical="center"/>
    </xf>
    <xf numFmtId="179" fontId="0" fillId="0" borderId="0" xfId="0" applyNumberFormat="1">
      <alignment vertical="center"/>
    </xf>
    <xf numFmtId="0" fontId="6" fillId="2" borderId="0" xfId="0" applyFont="1" applyFill="1">
      <alignment vertical="center"/>
    </xf>
    <xf numFmtId="0" fontId="7" fillId="2" borderId="0" xfId="0" applyFont="1" applyFill="1">
      <alignment vertical="center"/>
    </xf>
    <xf numFmtId="0" fontId="8" fillId="0" borderId="0" xfId="0" applyFont="1">
      <alignment vertical="center"/>
    </xf>
    <xf numFmtId="0" fontId="9" fillId="0" borderId="0" xfId="0" applyFont="1">
      <alignment vertical="center"/>
    </xf>
    <xf numFmtId="0" fontId="0" fillId="0" borderId="0" xfId="0" applyAlignment="1">
      <alignment vertical="center" wrapText="1"/>
    </xf>
    <xf numFmtId="0" fontId="0" fillId="0" borderId="1" xfId="0" applyBorder="1">
      <alignment vertical="center"/>
    </xf>
    <xf numFmtId="9" fontId="0" fillId="0" borderId="1" xfId="0" applyNumberFormat="1" applyBorder="1">
      <alignment vertical="center"/>
    </xf>
    <xf numFmtId="0" fontId="0" fillId="0" borderId="0" xfId="0" quotePrefix="1">
      <alignment vertical="center"/>
    </xf>
    <xf numFmtId="184" fontId="0" fillId="0" borderId="0" xfId="0" applyNumberFormat="1">
      <alignment vertical="center"/>
    </xf>
    <xf numFmtId="0" fontId="6" fillId="2" borderId="0" xfId="0" applyFont="1" applyFill="1" applyAlignment="1">
      <alignment horizontal="center" vertical="center"/>
    </xf>
    <xf numFmtId="179" fontId="0" fillId="3" borderId="0" xfId="0" applyNumberFormat="1" applyFill="1">
      <alignment vertical="center"/>
    </xf>
    <xf numFmtId="187" fontId="0" fillId="0" borderId="0" xfId="0" applyNumberFormat="1">
      <alignment vertical="center"/>
    </xf>
    <xf numFmtId="188" fontId="0" fillId="0" borderId="0" xfId="0" applyNumberFormat="1">
      <alignment vertical="center"/>
    </xf>
    <xf numFmtId="190" fontId="0" fillId="0" borderId="0" xfId="0" applyNumberFormat="1">
      <alignment vertical="center"/>
    </xf>
    <xf numFmtId="0" fontId="0" fillId="3" borderId="0" xfId="0" applyFill="1">
      <alignment vertical="center"/>
    </xf>
    <xf numFmtId="3" fontId="0" fillId="0" borderId="0" xfId="0" applyNumberFormat="1" applyAlignment="1">
      <alignment horizontal="center" vertical="center"/>
    </xf>
    <xf numFmtId="176" fontId="0" fillId="3" borderId="0" xfId="0" applyNumberFormat="1" applyFill="1">
      <alignment vertical="center"/>
    </xf>
    <xf numFmtId="192" fontId="0" fillId="0" borderId="0" xfId="0" applyNumberFormat="1">
      <alignment vertical="center"/>
    </xf>
  </cellXfs>
  <cellStyles count="2">
    <cellStyle name="常规" xfId="0" builtinId="0"/>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Intrinsic Value</c:v>
          </c:tx>
          <c:spPr>
            <a:ln w="28575" cap="rnd">
              <a:solidFill>
                <a:schemeClr val="accent1"/>
              </a:solidFill>
              <a:round/>
            </a:ln>
            <a:effectLst/>
          </c:spPr>
          <c:marker>
            <c:symbol val="none"/>
          </c:marker>
          <c:cat>
            <c:numRef>
              <c:f>ASimpleExample!$B$28:$B$44</c:f>
              <c:numCache>
                <c:formatCode>General</c:formatCode>
                <c:ptCount val="17"/>
                <c:pt idx="0">
                  <c:v>5</c:v>
                </c:pt>
                <c:pt idx="1">
                  <c:v>10</c:v>
                </c:pt>
                <c:pt idx="2">
                  <c:v>15</c:v>
                </c:pt>
                <c:pt idx="3">
                  <c:v>20</c:v>
                </c:pt>
                <c:pt idx="4">
                  <c:v>25</c:v>
                </c:pt>
                <c:pt idx="5">
                  <c:v>30</c:v>
                </c:pt>
                <c:pt idx="6">
                  <c:v>35</c:v>
                </c:pt>
                <c:pt idx="7">
                  <c:v>40</c:v>
                </c:pt>
                <c:pt idx="8">
                  <c:v>45</c:v>
                </c:pt>
                <c:pt idx="9">
                  <c:v>50</c:v>
                </c:pt>
                <c:pt idx="10">
                  <c:v>55</c:v>
                </c:pt>
                <c:pt idx="11">
                  <c:v>60</c:v>
                </c:pt>
                <c:pt idx="12">
                  <c:v>65</c:v>
                </c:pt>
                <c:pt idx="13">
                  <c:v>70</c:v>
                </c:pt>
                <c:pt idx="14">
                  <c:v>75</c:v>
                </c:pt>
                <c:pt idx="15">
                  <c:v>80</c:v>
                </c:pt>
                <c:pt idx="16">
                  <c:v>85</c:v>
                </c:pt>
              </c:numCache>
            </c:numRef>
          </c:cat>
          <c:val>
            <c:numRef>
              <c:f>ASimpleExample!$D$28:$D$44</c:f>
              <c:numCache>
                <c:formatCode>General</c:formatCode>
                <c:ptCount val="17"/>
                <c:pt idx="0">
                  <c:v>0</c:v>
                </c:pt>
                <c:pt idx="1">
                  <c:v>0</c:v>
                </c:pt>
                <c:pt idx="2">
                  <c:v>0</c:v>
                </c:pt>
                <c:pt idx="3">
                  <c:v>0</c:v>
                </c:pt>
                <c:pt idx="4">
                  <c:v>0</c:v>
                </c:pt>
                <c:pt idx="5">
                  <c:v>0</c:v>
                </c:pt>
                <c:pt idx="6">
                  <c:v>0</c:v>
                </c:pt>
                <c:pt idx="7">
                  <c:v>0</c:v>
                </c:pt>
                <c:pt idx="8">
                  <c:v>0</c:v>
                </c:pt>
                <c:pt idx="9">
                  <c:v>5</c:v>
                </c:pt>
                <c:pt idx="10">
                  <c:v>10</c:v>
                </c:pt>
                <c:pt idx="11">
                  <c:v>15</c:v>
                </c:pt>
                <c:pt idx="12">
                  <c:v>20</c:v>
                </c:pt>
                <c:pt idx="13">
                  <c:v>25</c:v>
                </c:pt>
                <c:pt idx="14">
                  <c:v>30</c:v>
                </c:pt>
                <c:pt idx="15">
                  <c:v>35</c:v>
                </c:pt>
                <c:pt idx="16">
                  <c:v>40</c:v>
                </c:pt>
              </c:numCache>
            </c:numRef>
          </c:val>
          <c:smooth val="0"/>
          <c:extLst>
            <c:ext xmlns:c16="http://schemas.microsoft.com/office/drawing/2014/chart" uri="{C3380CC4-5D6E-409C-BE32-E72D297353CC}">
              <c16:uniqueId val="{00000000-11FB-414F-B6CA-CD66F282879B}"/>
            </c:ext>
          </c:extLst>
        </c:ser>
        <c:ser>
          <c:idx val="1"/>
          <c:order val="1"/>
          <c:tx>
            <c:v>Call Price</c:v>
          </c:tx>
          <c:spPr>
            <a:ln w="28575" cap="rnd">
              <a:solidFill>
                <a:schemeClr val="accent2"/>
              </a:solidFill>
              <a:round/>
            </a:ln>
            <a:effectLst/>
          </c:spPr>
          <c:marker>
            <c:symbol val="none"/>
          </c:marker>
          <c:val>
            <c:numRef>
              <c:f>ASimpleExample!$C$28:$C$44</c:f>
              <c:numCache>
                <c:formatCode>#,##0.0000</c:formatCode>
                <c:ptCount val="17"/>
                <c:pt idx="0">
                  <c:v>1.6271103795261353E-17</c:v>
                </c:pt>
                <c:pt idx="1">
                  <c:v>6.2724512246643584E-9</c:v>
                </c:pt>
                <c:pt idx="2">
                  <c:v>2.8392918447725339E-5</c:v>
                </c:pt>
                <c:pt idx="3">
                  <c:v>2.8537602395158762E-3</c:v>
                </c:pt>
                <c:pt idx="4">
                  <c:v>4.8405224028071792E-2</c:v>
                </c:pt>
                <c:pt idx="5">
                  <c:v>0.31005154938344548</c:v>
                </c:pt>
                <c:pt idx="6">
                  <c:v>1.1076855598914648</c:v>
                </c:pt>
                <c:pt idx="7">
                  <c:v>2.7318630834502908</c:v>
                </c:pt>
                <c:pt idx="8">
                  <c:v>5.2776725210471618</c:v>
                </c:pt>
                <c:pt idx="9">
                  <c:v>8.6434337071156619</c:v>
                </c:pt>
                <c:pt idx="10">
                  <c:v>12.6307309804506</c:v>
                </c:pt>
                <c:pt idx="11">
                  <c:v>17.037833435617188</c:v>
                </c:pt>
                <c:pt idx="12">
                  <c:v>21.705621303373071</c:v>
                </c:pt>
                <c:pt idx="13">
                  <c:v>26.525589687810623</c:v>
                </c:pt>
                <c:pt idx="14">
                  <c:v>31.430439448391141</c:v>
                </c:pt>
                <c:pt idx="15">
                  <c:v>36.381069196126973</c:v>
                </c:pt>
                <c:pt idx="16">
                  <c:v>41.355789404586439</c:v>
                </c:pt>
              </c:numCache>
            </c:numRef>
          </c:val>
          <c:smooth val="0"/>
          <c:extLst>
            <c:ext xmlns:c16="http://schemas.microsoft.com/office/drawing/2014/chart" uri="{C3380CC4-5D6E-409C-BE32-E72D297353CC}">
              <c16:uniqueId val="{00000001-11FB-414F-B6CA-CD66F282879B}"/>
            </c:ext>
          </c:extLst>
        </c:ser>
        <c:dLbls>
          <c:showLegendKey val="0"/>
          <c:showVal val="0"/>
          <c:showCatName val="0"/>
          <c:showSerName val="0"/>
          <c:showPercent val="0"/>
          <c:showBubbleSize val="0"/>
        </c:dLbls>
        <c:smooth val="0"/>
        <c:axId val="1973723439"/>
        <c:axId val="1973724271"/>
      </c:lineChart>
      <c:catAx>
        <c:axId val="1973723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973724271"/>
        <c:crosses val="autoZero"/>
        <c:auto val="1"/>
        <c:lblAlgn val="ctr"/>
        <c:lblOffset val="100"/>
        <c:noMultiLvlLbl val="0"/>
      </c:catAx>
      <c:valAx>
        <c:axId val="19737242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9737234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二叉树</c:v>
          </c:tx>
          <c:spPr>
            <a:ln w="28575" cap="rnd">
              <a:solidFill>
                <a:schemeClr val="accent1"/>
              </a:solidFill>
              <a:round/>
            </a:ln>
            <a:effectLst/>
          </c:spPr>
          <c:marker>
            <c:symbol val="none"/>
          </c:marker>
          <c:cat>
            <c:numRef>
              <c:f>BinomialVSBS!$B$36:$B$75</c:f>
              <c:numCache>
                <c:formatCode>#,##0</c:formatCode>
                <c:ptCount val="40"/>
                <c:pt idx="0">
                  <c:v>5</c:v>
                </c:pt>
                <c:pt idx="1">
                  <c:v>10</c:v>
                </c:pt>
                <c:pt idx="2">
                  <c:v>15</c:v>
                </c:pt>
                <c:pt idx="3">
                  <c:v>20</c:v>
                </c:pt>
                <c:pt idx="4">
                  <c:v>25</c:v>
                </c:pt>
                <c:pt idx="5">
                  <c:v>30</c:v>
                </c:pt>
                <c:pt idx="6">
                  <c:v>35</c:v>
                </c:pt>
                <c:pt idx="7">
                  <c:v>40</c:v>
                </c:pt>
                <c:pt idx="8">
                  <c:v>45</c:v>
                </c:pt>
                <c:pt idx="9">
                  <c:v>50</c:v>
                </c:pt>
                <c:pt idx="10">
                  <c:v>55</c:v>
                </c:pt>
                <c:pt idx="11">
                  <c:v>60</c:v>
                </c:pt>
                <c:pt idx="12">
                  <c:v>65</c:v>
                </c:pt>
                <c:pt idx="13">
                  <c:v>70</c:v>
                </c:pt>
                <c:pt idx="14">
                  <c:v>75</c:v>
                </c:pt>
                <c:pt idx="15">
                  <c:v>80</c:v>
                </c:pt>
                <c:pt idx="16">
                  <c:v>85</c:v>
                </c:pt>
                <c:pt idx="17">
                  <c:v>90</c:v>
                </c:pt>
                <c:pt idx="18">
                  <c:v>95</c:v>
                </c:pt>
                <c:pt idx="19">
                  <c:v>100</c:v>
                </c:pt>
                <c:pt idx="20">
                  <c:v>105</c:v>
                </c:pt>
                <c:pt idx="21">
                  <c:v>110</c:v>
                </c:pt>
                <c:pt idx="22">
                  <c:v>115</c:v>
                </c:pt>
                <c:pt idx="23">
                  <c:v>120</c:v>
                </c:pt>
                <c:pt idx="24">
                  <c:v>125</c:v>
                </c:pt>
                <c:pt idx="25">
                  <c:v>130</c:v>
                </c:pt>
                <c:pt idx="26">
                  <c:v>135</c:v>
                </c:pt>
                <c:pt idx="27">
                  <c:v>140</c:v>
                </c:pt>
                <c:pt idx="28">
                  <c:v>145</c:v>
                </c:pt>
                <c:pt idx="29">
                  <c:v>150</c:v>
                </c:pt>
                <c:pt idx="30">
                  <c:v>155</c:v>
                </c:pt>
                <c:pt idx="31">
                  <c:v>160</c:v>
                </c:pt>
                <c:pt idx="32">
                  <c:v>165</c:v>
                </c:pt>
                <c:pt idx="33">
                  <c:v>170</c:v>
                </c:pt>
                <c:pt idx="34">
                  <c:v>175</c:v>
                </c:pt>
                <c:pt idx="35">
                  <c:v>180</c:v>
                </c:pt>
                <c:pt idx="36">
                  <c:v>185</c:v>
                </c:pt>
                <c:pt idx="37">
                  <c:v>190</c:v>
                </c:pt>
                <c:pt idx="38">
                  <c:v>195</c:v>
                </c:pt>
                <c:pt idx="39">
                  <c:v>200</c:v>
                </c:pt>
              </c:numCache>
            </c:numRef>
          </c:cat>
          <c:val>
            <c:numRef>
              <c:f>BinomialVSBS!$C$36:$C$75</c:f>
              <c:numCache>
                <c:formatCode>General</c:formatCode>
                <c:ptCount val="40"/>
                <c:pt idx="0">
                  <c:v>9.4469063840273051E-4</c:v>
                </c:pt>
                <c:pt idx="1">
                  <c:v>1.6885395543256548E-3</c:v>
                </c:pt>
                <c:pt idx="2">
                  <c:v>1.8772165677004311E-3</c:v>
                </c:pt>
                <c:pt idx="3">
                  <c:v>1.8309893247202454E-3</c:v>
                </c:pt>
                <c:pt idx="4">
                  <c:v>1.8113822322615382E-3</c:v>
                </c:pt>
                <c:pt idx="5">
                  <c:v>1.8349683309417525E-3</c:v>
                </c:pt>
                <c:pt idx="6">
                  <c:v>1.8801295294655551E-3</c:v>
                </c:pt>
                <c:pt idx="7">
                  <c:v>1.927323135054554E-3</c:v>
                </c:pt>
                <c:pt idx="8">
                  <c:v>1.9644688640610957E-3</c:v>
                </c:pt>
                <c:pt idx="9">
                  <c:v>1.9855684017516936E-3</c:v>
                </c:pt>
                <c:pt idx="10">
                  <c:v>1.9886207446999219E-3</c:v>
                </c:pt>
                <c:pt idx="11">
                  <c:v>1.9739988909857615E-3</c:v>
                </c:pt>
                <c:pt idx="12">
                  <c:v>1.9433607929996149E-3</c:v>
                </c:pt>
                <c:pt idx="13">
                  <c:v>1.8990143403339488E-3</c:v>
                </c:pt>
                <c:pt idx="14">
                  <c:v>1.9696019788275551E-3</c:v>
                </c:pt>
                <c:pt idx="15">
                  <c:v>2.0004506203263484E-3</c:v>
                </c:pt>
                <c:pt idx="16">
                  <c:v>1.9996337987102635E-3</c:v>
                </c:pt>
                <c:pt idx="17">
                  <c:v>1.9739613822476318E-3</c:v>
                </c:pt>
                <c:pt idx="18">
                  <c:v>1.9381949912310693E-3</c:v>
                </c:pt>
                <c:pt idx="19">
                  <c:v>1.9931294732892959E-3</c:v>
                </c:pt>
                <c:pt idx="20">
                  <c:v>2.0089584008689313E-3</c:v>
                </c:pt>
                <c:pt idx="21">
                  <c:v>1.9945310113946885E-3</c:v>
                </c:pt>
                <c:pt idx="22">
                  <c:v>1.9570154812185068E-3</c:v>
                </c:pt>
                <c:pt idx="23">
                  <c:v>1.9954622668467647E-3</c:v>
                </c:pt>
                <c:pt idx="24">
                  <c:v>2.0121122494044762E-3</c:v>
                </c:pt>
                <c:pt idx="25">
                  <c:v>1.9982286773603621E-3</c:v>
                </c:pt>
                <c:pt idx="26">
                  <c:v>1.9616815495976871E-3</c:v>
                </c:pt>
                <c:pt idx="27">
                  <c:v>2.0055478778741665E-3</c:v>
                </c:pt>
                <c:pt idx="28">
                  <c:v>2.0132505864311305E-3</c:v>
                </c:pt>
                <c:pt idx="29">
                  <c:v>1.9929480069313106E-3</c:v>
                </c:pt>
                <c:pt idx="30">
                  <c:v>1.9889616787848834E-3</c:v>
                </c:pt>
                <c:pt idx="31">
                  <c:v>2.0145827350435542E-3</c:v>
                </c:pt>
                <c:pt idx="32">
                  <c:v>2.0088391163282588E-3</c:v>
                </c:pt>
                <c:pt idx="33">
                  <c:v>1.9788143127485555E-3</c:v>
                </c:pt>
                <c:pt idx="34">
                  <c:v>2.0097965771418433E-3</c:v>
                </c:pt>
                <c:pt idx="35">
                  <c:v>2.0157341072735229E-3</c:v>
                </c:pt>
                <c:pt idx="36">
                  <c:v>1.9954173423778259E-3</c:v>
                </c:pt>
                <c:pt idx="37">
                  <c:v>2.0032694753458697E-3</c:v>
                </c:pt>
                <c:pt idx="38">
                  <c:v>2.0179816940526468E-3</c:v>
                </c:pt>
                <c:pt idx="39">
                  <c:v>2.0052657759823331E-3</c:v>
                </c:pt>
              </c:numCache>
            </c:numRef>
          </c:val>
          <c:smooth val="0"/>
          <c:extLst>
            <c:ext xmlns:c16="http://schemas.microsoft.com/office/drawing/2014/chart" uri="{C3380CC4-5D6E-409C-BE32-E72D297353CC}">
              <c16:uniqueId val="{00000005-DF1A-418C-9CC5-EA62765C19C0}"/>
            </c:ext>
          </c:extLst>
        </c:ser>
        <c:ser>
          <c:idx val="1"/>
          <c:order val="1"/>
          <c:tx>
            <c:v>BS定价</c:v>
          </c:tx>
          <c:spPr>
            <a:ln w="28575" cap="rnd">
              <a:solidFill>
                <a:schemeClr val="accent2"/>
              </a:solidFill>
              <a:round/>
            </a:ln>
            <a:effectLst/>
          </c:spPr>
          <c:marker>
            <c:symbol val="none"/>
          </c:marker>
          <c:val>
            <c:numRef>
              <c:f>BinomialVSBS!$D$36:$D$75</c:f>
              <c:numCache>
                <c:formatCode>General</c:formatCode>
                <c:ptCount val="40"/>
                <c:pt idx="0">
                  <c:v>2.0284123942212184E-3</c:v>
                </c:pt>
                <c:pt idx="1">
                  <c:v>2.0284123942212184E-3</c:v>
                </c:pt>
                <c:pt idx="2">
                  <c:v>2.0284123942212184E-3</c:v>
                </c:pt>
                <c:pt idx="3">
                  <c:v>2.0284123942212184E-3</c:v>
                </c:pt>
                <c:pt idx="4">
                  <c:v>2.0284123942212184E-3</c:v>
                </c:pt>
                <c:pt idx="5">
                  <c:v>2.0284123942212184E-3</c:v>
                </c:pt>
                <c:pt idx="6">
                  <c:v>2.0284123942212184E-3</c:v>
                </c:pt>
                <c:pt idx="7">
                  <c:v>2.0284123942212184E-3</c:v>
                </c:pt>
                <c:pt idx="8">
                  <c:v>2.0284123942212184E-3</c:v>
                </c:pt>
                <c:pt idx="9">
                  <c:v>2.0284123942212184E-3</c:v>
                </c:pt>
                <c:pt idx="10">
                  <c:v>2.0284123942212184E-3</c:v>
                </c:pt>
                <c:pt idx="11">
                  <c:v>2.0284123942212184E-3</c:v>
                </c:pt>
                <c:pt idx="12">
                  <c:v>2.0284123942212184E-3</c:v>
                </c:pt>
                <c:pt idx="13">
                  <c:v>2.0284123942212184E-3</c:v>
                </c:pt>
                <c:pt idx="14">
                  <c:v>2.0284123942212184E-3</c:v>
                </c:pt>
                <c:pt idx="15">
                  <c:v>2.0284123942212184E-3</c:v>
                </c:pt>
                <c:pt idx="16">
                  <c:v>2.0284123942212184E-3</c:v>
                </c:pt>
                <c:pt idx="17">
                  <c:v>2.0284123942212184E-3</c:v>
                </c:pt>
                <c:pt idx="18">
                  <c:v>2.0284123942212184E-3</c:v>
                </c:pt>
                <c:pt idx="19">
                  <c:v>2.0284123942212184E-3</c:v>
                </c:pt>
                <c:pt idx="20">
                  <c:v>2.0284123942212184E-3</c:v>
                </c:pt>
                <c:pt idx="21">
                  <c:v>2.0284123942212184E-3</c:v>
                </c:pt>
                <c:pt idx="22">
                  <c:v>2.0284123942212184E-3</c:v>
                </c:pt>
                <c:pt idx="23">
                  <c:v>2.0284123942212184E-3</c:v>
                </c:pt>
                <c:pt idx="24">
                  <c:v>2.0284123942212184E-3</c:v>
                </c:pt>
                <c:pt idx="25">
                  <c:v>2.0284123942212184E-3</c:v>
                </c:pt>
                <c:pt idx="26">
                  <c:v>2.0284123942212184E-3</c:v>
                </c:pt>
                <c:pt idx="27">
                  <c:v>2.0284123942212184E-3</c:v>
                </c:pt>
                <c:pt idx="28">
                  <c:v>2.0284123942212184E-3</c:v>
                </c:pt>
                <c:pt idx="29">
                  <c:v>2.0284123942212184E-3</c:v>
                </c:pt>
                <c:pt idx="30">
                  <c:v>2.0284123942212184E-3</c:v>
                </c:pt>
                <c:pt idx="31">
                  <c:v>2.0284123942212184E-3</c:v>
                </c:pt>
                <c:pt idx="32">
                  <c:v>2.0284123942212184E-3</c:v>
                </c:pt>
                <c:pt idx="33">
                  <c:v>2.0284123942212184E-3</c:v>
                </c:pt>
                <c:pt idx="34">
                  <c:v>2.0284123942212184E-3</c:v>
                </c:pt>
                <c:pt idx="35">
                  <c:v>2.0284123942212184E-3</c:v>
                </c:pt>
                <c:pt idx="36">
                  <c:v>2.0284123942212184E-3</c:v>
                </c:pt>
                <c:pt idx="37">
                  <c:v>2.0284123942212184E-3</c:v>
                </c:pt>
                <c:pt idx="38">
                  <c:v>2.0284123942212184E-3</c:v>
                </c:pt>
                <c:pt idx="39">
                  <c:v>2.0284123942212184E-3</c:v>
                </c:pt>
              </c:numCache>
            </c:numRef>
          </c:val>
          <c:smooth val="0"/>
          <c:extLst>
            <c:ext xmlns:c16="http://schemas.microsoft.com/office/drawing/2014/chart" uri="{C3380CC4-5D6E-409C-BE32-E72D297353CC}">
              <c16:uniqueId val="{00000006-DF1A-418C-9CC5-EA62765C19C0}"/>
            </c:ext>
          </c:extLst>
        </c:ser>
        <c:dLbls>
          <c:showLegendKey val="0"/>
          <c:showVal val="0"/>
          <c:showCatName val="0"/>
          <c:showSerName val="0"/>
          <c:showPercent val="0"/>
          <c:showBubbleSize val="0"/>
        </c:dLbls>
        <c:smooth val="0"/>
        <c:axId val="953039903"/>
        <c:axId val="953039487"/>
      </c:lineChart>
      <c:catAx>
        <c:axId val="953039903"/>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53039487"/>
        <c:crosses val="autoZero"/>
        <c:auto val="1"/>
        <c:lblAlgn val="ctr"/>
        <c:lblOffset val="100"/>
        <c:noMultiLvlLbl val="0"/>
      </c:catAx>
      <c:valAx>
        <c:axId val="953039487"/>
        <c:scaling>
          <c:orientation val="minMax"/>
          <c:min val="5.0000000000000012E-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530399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5" Type="http://schemas.openxmlformats.org/officeDocument/2006/relationships/image" Target="../media/image9.png"/><Relationship Id="rId4"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0</xdr:col>
      <xdr:colOff>131689</xdr:colOff>
      <xdr:row>6</xdr:row>
      <xdr:rowOff>5817</xdr:rowOff>
    </xdr:from>
    <xdr:to>
      <xdr:col>1</xdr:col>
      <xdr:colOff>2007031</xdr:colOff>
      <xdr:row>10</xdr:row>
      <xdr:rowOff>23247</xdr:rowOff>
    </xdr:to>
    <xdr:sp macro="" textlink="">
      <xdr:nvSpPr>
        <xdr:cNvPr id="2" name="文本框 1">
          <a:extLst>
            <a:ext uri="{FF2B5EF4-FFF2-40B4-BE49-F238E27FC236}">
              <a16:creationId xmlns:a16="http://schemas.microsoft.com/office/drawing/2014/main" id="{236F4593-723F-4A9A-B1A5-79DDD90EDD3A}"/>
            </a:ext>
          </a:extLst>
        </xdr:cNvPr>
        <xdr:cNvSpPr txBox="1"/>
      </xdr:nvSpPr>
      <xdr:spPr>
        <a:xfrm>
          <a:off x="131689" y="1059702"/>
          <a:ext cx="2492691" cy="72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CN" altLang="en-US" sz="1400" b="1" i="1" u="none" strike="noStrike">
              <a:solidFill>
                <a:srgbClr val="FF0000"/>
              </a:solidFill>
              <a:effectLst/>
              <a:latin typeface="+mn-lt"/>
              <a:ea typeface="+mn-ea"/>
              <a:cs typeface="+mn-cs"/>
            </a:rPr>
            <a:t>期权</a:t>
          </a:r>
          <a:r>
            <a:rPr lang="zh-CN" altLang="en-US" sz="1400" b="1" i="1" u="none" strike="noStrike">
              <a:solidFill>
                <a:schemeClr val="dk1"/>
              </a:solidFill>
              <a:effectLst/>
              <a:latin typeface="+mn-lt"/>
              <a:ea typeface="+mn-ea"/>
              <a:cs typeface="+mn-cs"/>
            </a:rPr>
            <a:t>：</a:t>
          </a:r>
          <a:endParaRPr lang="zh-CN" altLang="en-US" sz="1400" b="0">
            <a:effectLst/>
          </a:endParaRPr>
        </a:p>
        <a:p>
          <a:pPr rtl="0"/>
          <a:r>
            <a:rPr lang="zh-CN" altLang="en-US" sz="1100" b="1" i="0" u="none" strike="noStrike">
              <a:solidFill>
                <a:schemeClr val="dk1"/>
              </a:solidFill>
              <a:effectLst/>
              <a:latin typeface="+mn-lt"/>
              <a:ea typeface="+mn-ea"/>
              <a:cs typeface="+mn-cs"/>
            </a:rPr>
            <a:t>如何使用</a:t>
          </a:r>
          <a:r>
            <a:rPr lang="en-US" altLang="zh-CN" sz="1100" b="1" i="1" u="none" strike="noStrike">
              <a:solidFill>
                <a:schemeClr val="accent6">
                  <a:lumMod val="75000"/>
                </a:schemeClr>
              </a:solidFill>
              <a:effectLst/>
              <a:latin typeface="+mn-lt"/>
              <a:ea typeface="+mn-ea"/>
              <a:cs typeface="+mn-cs"/>
            </a:rPr>
            <a:t>Excel</a:t>
          </a:r>
          <a:r>
            <a:rPr lang="en-US" altLang="zh-CN" sz="1100" b="1" i="0" u="none" strike="noStrike">
              <a:solidFill>
                <a:schemeClr val="accent6">
                  <a:lumMod val="75000"/>
                </a:schemeClr>
              </a:solidFill>
              <a:effectLst/>
              <a:latin typeface="+mn-lt"/>
              <a:ea typeface="+mn-ea"/>
              <a:cs typeface="+mn-cs"/>
            </a:rPr>
            <a:t> </a:t>
          </a:r>
          <a:r>
            <a:rPr lang="zh-CN" altLang="en-US" sz="1100" b="1" i="0" u="none" strike="noStrike">
              <a:solidFill>
                <a:schemeClr val="dk1"/>
              </a:solidFill>
              <a:effectLst/>
              <a:latin typeface="+mn-lt"/>
              <a:ea typeface="+mn-ea"/>
              <a:cs typeface="+mn-cs"/>
            </a:rPr>
            <a:t>以及</a:t>
          </a:r>
          <a:r>
            <a:rPr lang="en-US" altLang="zh-CN" sz="1100" b="1" i="1" u="none" strike="noStrike">
              <a:solidFill>
                <a:schemeClr val="accent6">
                  <a:lumMod val="75000"/>
                </a:schemeClr>
              </a:solidFill>
              <a:effectLst/>
              <a:latin typeface="+mn-lt"/>
              <a:ea typeface="+mn-ea"/>
              <a:cs typeface="+mn-cs"/>
            </a:rPr>
            <a:t>Black-Sholes Model</a:t>
          </a:r>
        </a:p>
        <a:p>
          <a:pPr rtl="0"/>
          <a:r>
            <a:rPr lang="zh-CN" altLang="en-US" sz="1100" b="1" i="0" u="none" strike="noStrike">
              <a:solidFill>
                <a:schemeClr val="dk1"/>
              </a:solidFill>
              <a:effectLst/>
              <a:latin typeface="+mn-lt"/>
              <a:ea typeface="+mn-ea"/>
              <a:cs typeface="+mn-cs"/>
            </a:rPr>
            <a:t>对</a:t>
          </a:r>
          <a:r>
            <a:rPr lang="zh-CN" altLang="en-US" sz="1100" b="1" i="0" u="none" strike="noStrike">
              <a:solidFill>
                <a:schemeClr val="accent2">
                  <a:lumMod val="50000"/>
                </a:schemeClr>
              </a:solidFill>
              <a:effectLst/>
              <a:latin typeface="+mn-lt"/>
              <a:ea typeface="+mn-ea"/>
              <a:cs typeface="+mn-cs"/>
            </a:rPr>
            <a:t>上证</a:t>
          </a:r>
          <a:r>
            <a:rPr lang="en-US" altLang="zh-CN" sz="1100" b="1" i="0" u="none" strike="noStrike">
              <a:solidFill>
                <a:schemeClr val="accent2">
                  <a:lumMod val="50000"/>
                </a:schemeClr>
              </a:solidFill>
              <a:effectLst/>
              <a:latin typeface="+mn-lt"/>
              <a:ea typeface="+mn-ea"/>
              <a:cs typeface="+mn-cs"/>
            </a:rPr>
            <a:t>50ETF</a:t>
          </a:r>
          <a:r>
            <a:rPr lang="zh-CN" altLang="en-US" sz="1100" b="1" i="0" u="none" strike="noStrike">
              <a:solidFill>
                <a:schemeClr val="accent2">
                  <a:lumMod val="50000"/>
                </a:schemeClr>
              </a:solidFill>
              <a:effectLst/>
              <a:latin typeface="+mn-lt"/>
              <a:ea typeface="+mn-ea"/>
              <a:cs typeface="+mn-cs"/>
            </a:rPr>
            <a:t>期权</a:t>
          </a:r>
          <a:r>
            <a:rPr lang="zh-CN" altLang="en-US" sz="1100" b="1" i="0" u="none" strike="noStrike">
              <a:solidFill>
                <a:schemeClr val="dk1"/>
              </a:solidFill>
              <a:effectLst/>
              <a:latin typeface="+mn-lt"/>
              <a:ea typeface="+mn-ea"/>
              <a:cs typeface="+mn-cs"/>
            </a:rPr>
            <a:t>进行定价估值</a:t>
          </a:r>
          <a:endParaRPr lang="zh-CN" altLang="en-US" sz="1400" b="0">
            <a:effectLst/>
          </a:endParaRPr>
        </a:p>
        <a:p>
          <a:br>
            <a:rPr lang="zh-CN" altLang="en-US" sz="1400"/>
          </a:br>
          <a:endParaRPr lang="zh-CN" altLang="en-US" sz="1050">
            <a:solidFill>
              <a:schemeClr val="accent6">
                <a:lumMod val="7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2</xdr:col>
      <xdr:colOff>381000</xdr:colOff>
      <xdr:row>13</xdr:row>
      <xdr:rowOff>0</xdr:rowOff>
    </xdr:to>
    <xdr:pic>
      <xdr:nvPicPr>
        <xdr:cNvPr id="2" name="图片 1">
          <a:extLst>
            <a:ext uri="{FF2B5EF4-FFF2-40B4-BE49-F238E27FC236}">
              <a16:creationId xmlns:a16="http://schemas.microsoft.com/office/drawing/2014/main" id="{881C0061-2111-3E4D-C312-2F67B048EDC9}"/>
            </a:ext>
          </a:extLst>
        </xdr:cNvPr>
        <xdr:cNvPicPr>
          <a:picLocks noChangeAspect="1"/>
        </xdr:cNvPicPr>
      </xdr:nvPicPr>
      <xdr:blipFill>
        <a:blip xmlns:r="http://schemas.openxmlformats.org/officeDocument/2006/relationships" r:embed="rId1"/>
        <a:stretch>
          <a:fillRect/>
        </a:stretch>
      </xdr:blipFill>
      <xdr:spPr>
        <a:xfrm>
          <a:off x="609600" y="960120"/>
          <a:ext cx="990600" cy="1402080"/>
        </a:xfrm>
        <a:prstGeom prst="rect">
          <a:avLst/>
        </a:prstGeom>
      </xdr:spPr>
    </xdr:pic>
    <xdr:clientData/>
  </xdr:twoCellAnchor>
  <xdr:twoCellAnchor editAs="oneCell">
    <xdr:from>
      <xdr:col>3</xdr:col>
      <xdr:colOff>1</xdr:colOff>
      <xdr:row>5</xdr:row>
      <xdr:rowOff>1</xdr:rowOff>
    </xdr:from>
    <xdr:to>
      <xdr:col>4</xdr:col>
      <xdr:colOff>380441</xdr:colOff>
      <xdr:row>13</xdr:row>
      <xdr:rowOff>1</xdr:rowOff>
    </xdr:to>
    <xdr:pic>
      <xdr:nvPicPr>
        <xdr:cNvPr id="3" name="图片 2">
          <a:extLst>
            <a:ext uri="{FF2B5EF4-FFF2-40B4-BE49-F238E27FC236}">
              <a16:creationId xmlns:a16="http://schemas.microsoft.com/office/drawing/2014/main" id="{7A4BB0B0-843A-FA23-61E0-8FBD279EABA6}"/>
            </a:ext>
          </a:extLst>
        </xdr:cNvPr>
        <xdr:cNvPicPr>
          <a:picLocks noChangeAspect="1"/>
        </xdr:cNvPicPr>
      </xdr:nvPicPr>
      <xdr:blipFill>
        <a:blip xmlns:r="http://schemas.openxmlformats.org/officeDocument/2006/relationships" r:embed="rId2"/>
        <a:stretch>
          <a:fillRect/>
        </a:stretch>
      </xdr:blipFill>
      <xdr:spPr>
        <a:xfrm>
          <a:off x="1828801" y="960121"/>
          <a:ext cx="990040" cy="1402080"/>
        </a:xfrm>
        <a:prstGeom prst="rect">
          <a:avLst/>
        </a:prstGeom>
      </xdr:spPr>
    </xdr:pic>
    <xdr:clientData/>
  </xdr:twoCellAnchor>
  <xdr:twoCellAnchor editAs="oneCell">
    <xdr:from>
      <xdr:col>5</xdr:col>
      <xdr:colOff>0</xdr:colOff>
      <xdr:row>5</xdr:row>
      <xdr:rowOff>0</xdr:rowOff>
    </xdr:from>
    <xdr:to>
      <xdr:col>6</xdr:col>
      <xdr:colOff>387058</xdr:colOff>
      <xdr:row>13</xdr:row>
      <xdr:rowOff>1088</xdr:rowOff>
    </xdr:to>
    <xdr:pic>
      <xdr:nvPicPr>
        <xdr:cNvPr id="4" name="图片 3">
          <a:extLst>
            <a:ext uri="{FF2B5EF4-FFF2-40B4-BE49-F238E27FC236}">
              <a16:creationId xmlns:a16="http://schemas.microsoft.com/office/drawing/2014/main" id="{F69F7E78-7285-79B1-2022-8E1240C80BF3}"/>
            </a:ext>
          </a:extLst>
        </xdr:cNvPr>
        <xdr:cNvPicPr>
          <a:picLocks noChangeAspect="1"/>
        </xdr:cNvPicPr>
      </xdr:nvPicPr>
      <xdr:blipFill>
        <a:blip xmlns:r="http://schemas.openxmlformats.org/officeDocument/2006/relationships" r:embed="rId3"/>
        <a:stretch>
          <a:fillRect/>
        </a:stretch>
      </xdr:blipFill>
      <xdr:spPr>
        <a:xfrm>
          <a:off x="3048000" y="960120"/>
          <a:ext cx="996658" cy="1402079"/>
        </a:xfrm>
        <a:prstGeom prst="rect">
          <a:avLst/>
        </a:prstGeom>
      </xdr:spPr>
    </xdr:pic>
    <xdr:clientData/>
  </xdr:twoCellAnchor>
  <xdr:twoCellAnchor>
    <xdr:from>
      <xdr:col>1</xdr:col>
      <xdr:colOff>60960</xdr:colOff>
      <xdr:row>13</xdr:row>
      <xdr:rowOff>83820</xdr:rowOff>
    </xdr:from>
    <xdr:to>
      <xdr:col>2</xdr:col>
      <xdr:colOff>350520</xdr:colOff>
      <xdr:row>14</xdr:row>
      <xdr:rowOff>167640</xdr:rowOff>
    </xdr:to>
    <xdr:sp macro="" textlink="">
      <xdr:nvSpPr>
        <xdr:cNvPr id="5" name="文本框 4">
          <a:extLst>
            <a:ext uri="{FF2B5EF4-FFF2-40B4-BE49-F238E27FC236}">
              <a16:creationId xmlns:a16="http://schemas.microsoft.com/office/drawing/2014/main" id="{ED1B5F37-116F-41C5-7D0E-C5D017B92967}"/>
            </a:ext>
          </a:extLst>
        </xdr:cNvPr>
        <xdr:cNvSpPr txBox="1"/>
      </xdr:nvSpPr>
      <xdr:spPr>
        <a:xfrm>
          <a:off x="670560" y="2446020"/>
          <a:ext cx="8991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Fisher Black</a:t>
          </a:r>
          <a:endParaRPr lang="zh-CN" altLang="en-US" sz="1100"/>
        </a:p>
      </xdr:txBody>
    </xdr:sp>
    <xdr:clientData/>
  </xdr:twoCellAnchor>
  <xdr:twoCellAnchor>
    <xdr:from>
      <xdr:col>2</xdr:col>
      <xdr:colOff>533400</xdr:colOff>
      <xdr:row>13</xdr:row>
      <xdr:rowOff>83820</xdr:rowOff>
    </xdr:from>
    <xdr:to>
      <xdr:col>4</xdr:col>
      <xdr:colOff>472440</xdr:colOff>
      <xdr:row>14</xdr:row>
      <xdr:rowOff>167640</xdr:rowOff>
    </xdr:to>
    <xdr:sp macro="" textlink="">
      <xdr:nvSpPr>
        <xdr:cNvPr id="6" name="文本框 5">
          <a:extLst>
            <a:ext uri="{FF2B5EF4-FFF2-40B4-BE49-F238E27FC236}">
              <a16:creationId xmlns:a16="http://schemas.microsoft.com/office/drawing/2014/main" id="{092CAAEB-2326-BEDF-C8A0-C84583AFFA0D}"/>
            </a:ext>
          </a:extLst>
        </xdr:cNvPr>
        <xdr:cNvSpPr txBox="1"/>
      </xdr:nvSpPr>
      <xdr:spPr>
        <a:xfrm>
          <a:off x="1752600" y="2446020"/>
          <a:ext cx="11582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Robert C Merton</a:t>
          </a:r>
          <a:endParaRPr lang="zh-CN" altLang="en-US" sz="1100"/>
        </a:p>
      </xdr:txBody>
    </xdr:sp>
    <xdr:clientData/>
  </xdr:twoCellAnchor>
  <xdr:twoCellAnchor>
    <xdr:from>
      <xdr:col>5</xdr:col>
      <xdr:colOff>7620</xdr:colOff>
      <xdr:row>13</xdr:row>
      <xdr:rowOff>68580</xdr:rowOff>
    </xdr:from>
    <xdr:to>
      <xdr:col>6</xdr:col>
      <xdr:colOff>556260</xdr:colOff>
      <xdr:row>14</xdr:row>
      <xdr:rowOff>152400</xdr:rowOff>
    </xdr:to>
    <xdr:sp macro="" textlink="">
      <xdr:nvSpPr>
        <xdr:cNvPr id="7" name="文本框 6">
          <a:extLst>
            <a:ext uri="{FF2B5EF4-FFF2-40B4-BE49-F238E27FC236}">
              <a16:creationId xmlns:a16="http://schemas.microsoft.com/office/drawing/2014/main" id="{FF0C3CBB-497E-2F98-7937-680C80AC2D0F}"/>
            </a:ext>
          </a:extLst>
        </xdr:cNvPr>
        <xdr:cNvSpPr txBox="1"/>
      </xdr:nvSpPr>
      <xdr:spPr>
        <a:xfrm>
          <a:off x="3055620" y="2430780"/>
          <a:ext cx="11582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Myron</a:t>
          </a:r>
          <a:r>
            <a:rPr lang="en-US" altLang="zh-CN" sz="1100" baseline="0"/>
            <a:t> Scholes</a:t>
          </a:r>
          <a:endParaRPr lang="zh-CN" altLang="en-US" sz="1100"/>
        </a:p>
      </xdr:txBody>
    </xdr:sp>
    <xdr:clientData/>
  </xdr:twoCellAnchor>
  <xdr:twoCellAnchor editAs="oneCell">
    <xdr:from>
      <xdr:col>1</xdr:col>
      <xdr:colOff>0</xdr:colOff>
      <xdr:row>22</xdr:row>
      <xdr:rowOff>0</xdr:rowOff>
    </xdr:from>
    <xdr:to>
      <xdr:col>4</xdr:col>
      <xdr:colOff>599771</xdr:colOff>
      <xdr:row>24</xdr:row>
      <xdr:rowOff>32609</xdr:rowOff>
    </xdr:to>
    <xdr:pic>
      <xdr:nvPicPr>
        <xdr:cNvPr id="13" name="图片 12">
          <a:extLst>
            <a:ext uri="{FF2B5EF4-FFF2-40B4-BE49-F238E27FC236}">
              <a16:creationId xmlns:a16="http://schemas.microsoft.com/office/drawing/2014/main" id="{109BF614-4703-2C81-B340-2A6BF5009259}"/>
            </a:ext>
          </a:extLst>
        </xdr:cNvPr>
        <xdr:cNvPicPr>
          <a:picLocks noChangeAspect="1"/>
        </xdr:cNvPicPr>
      </xdr:nvPicPr>
      <xdr:blipFill>
        <a:blip xmlns:r="http://schemas.openxmlformats.org/officeDocument/2006/relationships" r:embed="rId4"/>
        <a:stretch>
          <a:fillRect/>
        </a:stretch>
      </xdr:blipFill>
      <xdr:spPr>
        <a:xfrm>
          <a:off x="609600" y="3936274"/>
          <a:ext cx="2428571" cy="380952"/>
        </a:xfrm>
        <a:prstGeom prst="rect">
          <a:avLst/>
        </a:prstGeom>
      </xdr:spPr>
    </xdr:pic>
    <xdr:clientData/>
  </xdr:twoCellAnchor>
  <xdr:twoCellAnchor editAs="oneCell">
    <xdr:from>
      <xdr:col>1</xdr:col>
      <xdr:colOff>0</xdr:colOff>
      <xdr:row>24</xdr:row>
      <xdr:rowOff>0</xdr:rowOff>
    </xdr:from>
    <xdr:to>
      <xdr:col>5</xdr:col>
      <xdr:colOff>161600</xdr:colOff>
      <xdr:row>29</xdr:row>
      <xdr:rowOff>148191</xdr:rowOff>
    </xdr:to>
    <xdr:pic>
      <xdr:nvPicPr>
        <xdr:cNvPr id="14" name="图片 13">
          <a:extLst>
            <a:ext uri="{FF2B5EF4-FFF2-40B4-BE49-F238E27FC236}">
              <a16:creationId xmlns:a16="http://schemas.microsoft.com/office/drawing/2014/main" id="{E7EDEB2F-B10A-7719-DDE9-6047F3CB3F29}"/>
            </a:ext>
          </a:extLst>
        </xdr:cNvPr>
        <xdr:cNvPicPr>
          <a:picLocks noChangeAspect="1"/>
        </xdr:cNvPicPr>
      </xdr:nvPicPr>
      <xdr:blipFill>
        <a:blip xmlns:r="http://schemas.openxmlformats.org/officeDocument/2006/relationships" r:embed="rId5"/>
        <a:stretch>
          <a:fillRect/>
        </a:stretch>
      </xdr:blipFill>
      <xdr:spPr>
        <a:xfrm>
          <a:off x="609600" y="4284617"/>
          <a:ext cx="2600000" cy="10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2</xdr:row>
      <xdr:rowOff>82481</xdr:rowOff>
    </xdr:from>
    <xdr:to>
      <xdr:col>4</xdr:col>
      <xdr:colOff>15240</xdr:colOff>
      <xdr:row>4</xdr:row>
      <xdr:rowOff>152400</xdr:rowOff>
    </xdr:to>
    <xdr:pic>
      <xdr:nvPicPr>
        <xdr:cNvPr id="2" name="图片 1">
          <a:extLst>
            <a:ext uri="{FF2B5EF4-FFF2-40B4-BE49-F238E27FC236}">
              <a16:creationId xmlns:a16="http://schemas.microsoft.com/office/drawing/2014/main" id="{67E0D885-F8C2-1F01-7A07-15CFE2F3E56D}"/>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609600" y="516821"/>
          <a:ext cx="2392680" cy="420439"/>
        </a:xfrm>
        <a:prstGeom prst="rect">
          <a:avLst/>
        </a:prstGeom>
      </xdr:spPr>
    </xdr:pic>
    <xdr:clientData/>
  </xdr:twoCellAnchor>
  <xdr:twoCellAnchor editAs="oneCell">
    <xdr:from>
      <xdr:col>1</xdr:col>
      <xdr:colOff>0</xdr:colOff>
      <xdr:row>5</xdr:row>
      <xdr:rowOff>60960</xdr:rowOff>
    </xdr:from>
    <xdr:to>
      <xdr:col>3</xdr:col>
      <xdr:colOff>502920</xdr:colOff>
      <xdr:row>10</xdr:row>
      <xdr:rowOff>84902</xdr:rowOff>
    </xdr:to>
    <xdr:pic>
      <xdr:nvPicPr>
        <xdr:cNvPr id="3" name="图片 2">
          <a:extLst>
            <a:ext uri="{FF2B5EF4-FFF2-40B4-BE49-F238E27FC236}">
              <a16:creationId xmlns:a16="http://schemas.microsoft.com/office/drawing/2014/main" id="{80C4E7EB-9E72-6E17-44CE-7B7ECD91AB32}"/>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609600" y="1021080"/>
          <a:ext cx="2270760" cy="900242"/>
        </a:xfrm>
        <a:prstGeom prst="rect">
          <a:avLst/>
        </a:prstGeom>
      </xdr:spPr>
    </xdr:pic>
    <xdr:clientData/>
  </xdr:twoCellAnchor>
  <xdr:twoCellAnchor editAs="oneCell">
    <xdr:from>
      <xdr:col>4</xdr:col>
      <xdr:colOff>457200</xdr:colOff>
      <xdr:row>2</xdr:row>
      <xdr:rowOff>115349</xdr:rowOff>
    </xdr:from>
    <xdr:to>
      <xdr:col>7</xdr:col>
      <xdr:colOff>158262</xdr:colOff>
      <xdr:row>4</xdr:row>
      <xdr:rowOff>137160</xdr:rowOff>
    </xdr:to>
    <xdr:pic>
      <xdr:nvPicPr>
        <xdr:cNvPr id="4" name="图片 3">
          <a:extLst>
            <a:ext uri="{FF2B5EF4-FFF2-40B4-BE49-F238E27FC236}">
              <a16:creationId xmlns:a16="http://schemas.microsoft.com/office/drawing/2014/main" id="{D7B95862-3D2A-1D62-AFC3-8380923E9BCE}"/>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3444240" y="549689"/>
          <a:ext cx="2590800" cy="372331"/>
        </a:xfrm>
        <a:prstGeom prst="rect">
          <a:avLst/>
        </a:prstGeom>
      </xdr:spPr>
    </xdr:pic>
    <xdr:clientData/>
  </xdr:twoCellAnchor>
  <xdr:twoCellAnchor>
    <xdr:from>
      <xdr:col>5</xdr:col>
      <xdr:colOff>419100</xdr:colOff>
      <xdr:row>26</xdr:row>
      <xdr:rowOff>60666</xdr:rowOff>
    </xdr:from>
    <xdr:to>
      <xdr:col>13</xdr:col>
      <xdr:colOff>114300</xdr:colOff>
      <xdr:row>41</xdr:row>
      <xdr:rowOff>175552</xdr:rowOff>
    </xdr:to>
    <xdr:graphicFrame macro="">
      <xdr:nvGraphicFramePr>
        <xdr:cNvPr id="5" name="图表 4">
          <a:extLst>
            <a:ext uri="{FF2B5EF4-FFF2-40B4-BE49-F238E27FC236}">
              <a16:creationId xmlns:a16="http://schemas.microsoft.com/office/drawing/2014/main" id="{01FB44BB-990B-F4CA-ACFB-46515BA270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0</xdr:colOff>
      <xdr:row>50</xdr:row>
      <xdr:rowOff>0</xdr:rowOff>
    </xdr:from>
    <xdr:to>
      <xdr:col>13</xdr:col>
      <xdr:colOff>227603</xdr:colOff>
      <xdr:row>76</xdr:row>
      <xdr:rowOff>24192</xdr:rowOff>
    </xdr:to>
    <xdr:pic>
      <xdr:nvPicPr>
        <xdr:cNvPr id="6" name="图片 5">
          <a:extLst>
            <a:ext uri="{FF2B5EF4-FFF2-40B4-BE49-F238E27FC236}">
              <a16:creationId xmlns:a16="http://schemas.microsoft.com/office/drawing/2014/main" id="{26B5720C-4128-EEF9-2657-A9A8AD4F795B}"/>
            </a:ext>
          </a:extLst>
        </xdr:cNvPr>
        <xdr:cNvPicPr>
          <a:picLocks noChangeAspect="1"/>
        </xdr:cNvPicPr>
      </xdr:nvPicPr>
      <xdr:blipFill>
        <a:blip xmlns:r="http://schemas.openxmlformats.org/officeDocument/2006/relationships" r:embed="rId5"/>
        <a:stretch>
          <a:fillRect/>
        </a:stretch>
      </xdr:blipFill>
      <xdr:spPr>
        <a:xfrm>
          <a:off x="609600" y="8968740"/>
          <a:ext cx="9152381" cy="45809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31228</xdr:colOff>
      <xdr:row>22</xdr:row>
      <xdr:rowOff>52754</xdr:rowOff>
    </xdr:from>
    <xdr:to>
      <xdr:col>8</xdr:col>
      <xdr:colOff>398585</xdr:colOff>
      <xdr:row>26</xdr:row>
      <xdr:rowOff>44607</xdr:rowOff>
    </xdr:to>
    <xdr:pic>
      <xdr:nvPicPr>
        <xdr:cNvPr id="3" name="图片 2">
          <a:extLst>
            <a:ext uri="{FF2B5EF4-FFF2-40B4-BE49-F238E27FC236}">
              <a16:creationId xmlns:a16="http://schemas.microsoft.com/office/drawing/2014/main" id="{19F83828-3088-5C20-CFC8-039FD0C702C4}"/>
            </a:ext>
          </a:extLst>
        </xdr:cNvPr>
        <xdr:cNvPicPr>
          <a:picLocks noChangeAspect="1"/>
        </xdr:cNvPicPr>
      </xdr:nvPicPr>
      <xdr:blipFill>
        <a:blip xmlns:r="http://schemas.openxmlformats.org/officeDocument/2006/relationships" r:embed="rId1"/>
        <a:stretch>
          <a:fillRect/>
        </a:stretch>
      </xdr:blipFill>
      <xdr:spPr>
        <a:xfrm>
          <a:off x="5558659" y="5234354"/>
          <a:ext cx="3638095" cy="695238"/>
        </a:xfrm>
        <a:prstGeom prst="rect">
          <a:avLst/>
        </a:prstGeom>
      </xdr:spPr>
    </xdr:pic>
    <xdr:clientData/>
  </xdr:twoCellAnchor>
  <xdr:twoCellAnchor>
    <xdr:from>
      <xdr:col>4</xdr:col>
      <xdr:colOff>167054</xdr:colOff>
      <xdr:row>32</xdr:row>
      <xdr:rowOff>172915</xdr:rowOff>
    </xdr:from>
    <xdr:to>
      <xdr:col>10</xdr:col>
      <xdr:colOff>249116</xdr:colOff>
      <xdr:row>48</xdr:row>
      <xdr:rowOff>102577</xdr:rowOff>
    </xdr:to>
    <xdr:graphicFrame macro="">
      <xdr:nvGraphicFramePr>
        <xdr:cNvPr id="4" name="图表 3">
          <a:extLst>
            <a:ext uri="{FF2B5EF4-FFF2-40B4-BE49-F238E27FC236}">
              <a16:creationId xmlns:a16="http://schemas.microsoft.com/office/drawing/2014/main" id="{AD9E187C-CB8A-2B64-0E5C-254F37D1F9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37"/>
  <sheetViews>
    <sheetView showGridLines="0" tabSelected="1" zoomScale="295" zoomScaleNormal="295" workbookViewId="0">
      <selection activeCell="C9" sqref="C9"/>
    </sheetView>
  </sheetViews>
  <sheetFormatPr defaultColWidth="9" defaultRowHeight="13.8" x14ac:dyDescent="0.25"/>
  <cols>
    <col min="2" max="2" width="30.6640625" bestFit="1" customWidth="1"/>
  </cols>
  <sheetData>
    <row r="1" spans="1:3" x14ac:dyDescent="0.25">
      <c r="A1" s="2" t="s">
        <v>0</v>
      </c>
      <c r="B1" s="2" t="s">
        <v>1</v>
      </c>
      <c r="C1" s="2" t="s">
        <v>2</v>
      </c>
    </row>
    <row r="2" spans="1:3" x14ac:dyDescent="0.25">
      <c r="A2" s="1">
        <f>IF(B2&lt;&gt;"",ROW()-1,"")</f>
        <v>1</v>
      </c>
      <c r="B2" s="3" t="str">
        <f>IFERROR(REPLACE(INDEX(roadmap,1,ROW()),1,FIND("]",INDEX(roadmap,1,ROW())),""),"")</f>
        <v>Background</v>
      </c>
      <c r="C2" s="4" t="str">
        <f>IF(B2&lt;&gt;"",HYPERLINK("#"&amp;B2&amp;"!A1","Link"),"")</f>
        <v>Link</v>
      </c>
    </row>
    <row r="3" spans="1:3" x14ac:dyDescent="0.25">
      <c r="A3" s="1">
        <f t="shared" ref="A3:A6" si="0">IF(B3&lt;&gt;"",ROW()-1,"")</f>
        <v>2</v>
      </c>
      <c r="B3" s="3" t="str">
        <f>IFERROR(REPLACE(INDEX(roadmap,1,ROW()),1,FIND("]",INDEX(roadmap,1,ROW())),""),"")</f>
        <v>ASimpleExample</v>
      </c>
      <c r="C3" s="4" t="str">
        <f t="shared" ref="C3:C6" si="1">IF(B3&lt;&gt;"",HYPERLINK("#"&amp;B3&amp;"!A1","Link"),"")</f>
        <v>Link</v>
      </c>
    </row>
    <row r="4" spans="1:3" x14ac:dyDescent="0.25">
      <c r="A4" s="1">
        <f t="shared" si="0"/>
        <v>3</v>
      </c>
      <c r="B4" s="3" t="str">
        <f>IFERROR(REPLACE(INDEX(roadmap,1,ROW()),1,FIND("]",INDEX(roadmap,1,ROW())),""),"")</f>
        <v>50EFTOption</v>
      </c>
      <c r="C4" s="4" t="str">
        <f t="shared" si="1"/>
        <v>Link</v>
      </c>
    </row>
    <row r="5" spans="1:3" x14ac:dyDescent="0.25">
      <c r="A5" s="1">
        <f t="shared" si="0"/>
        <v>4</v>
      </c>
      <c r="B5" s="3" t="str">
        <f>IFERROR(REPLACE(INDEX(roadmap,1,ROW()),1,FIND("]",INDEX(roadmap,1,ROW())),""),"")</f>
        <v>BinomialVSBS</v>
      </c>
      <c r="C5" s="4" t="str">
        <f t="shared" si="1"/>
        <v>Link</v>
      </c>
    </row>
    <row r="6" spans="1:3" x14ac:dyDescent="0.25">
      <c r="A6" s="1">
        <f t="shared" si="0"/>
        <v>5</v>
      </c>
      <c r="B6" s="3" t="str">
        <f>IFERROR(REPLACE(INDEX(roadmap,1,ROW()),1,FIND("]",INDEX(roadmap,1,ROW())),""),"")</f>
        <v>HistoricalVolatility</v>
      </c>
      <c r="C6" s="4" t="str">
        <f t="shared" si="1"/>
        <v>Link</v>
      </c>
    </row>
    <row r="7" spans="1:3" x14ac:dyDescent="0.25">
      <c r="A7" s="1" t="str">
        <f t="shared" ref="A5:A16" si="2">IF(B7&lt;&gt;"",ROW()-1,"")</f>
        <v/>
      </c>
      <c r="B7" s="3" t="str">
        <f>IFERROR(REPLACE(INDEX(roadmap,1,ROW()),1,FIND("]",INDEX(roadmap,1,ROW())),""),"")</f>
        <v/>
      </c>
      <c r="C7" s="4" t="str">
        <f t="shared" ref="C5:C16" si="3">IF(B7&lt;&gt;"",HYPERLINK("#"&amp;B7&amp;"!A1","Link"),"")</f>
        <v/>
      </c>
    </row>
    <row r="8" spans="1:3" x14ac:dyDescent="0.25">
      <c r="A8" s="1" t="str">
        <f t="shared" si="2"/>
        <v/>
      </c>
      <c r="B8" s="3" t="str">
        <f>IFERROR(REPLACE(INDEX(roadmap,1,ROW()),1,FIND("]",INDEX(roadmap,1,ROW())),""),"")</f>
        <v/>
      </c>
      <c r="C8" s="4" t="str">
        <f t="shared" si="3"/>
        <v/>
      </c>
    </row>
    <row r="9" spans="1:3" x14ac:dyDescent="0.25">
      <c r="A9" s="1" t="str">
        <f t="shared" si="2"/>
        <v/>
      </c>
      <c r="B9" s="3" t="str">
        <f>IFERROR(REPLACE(INDEX(roadmap,1,ROW()),1,FIND("]",INDEX(roadmap,1,ROW())),""),"")</f>
        <v/>
      </c>
      <c r="C9" s="4" t="str">
        <f t="shared" si="3"/>
        <v/>
      </c>
    </row>
    <row r="10" spans="1:3" x14ac:dyDescent="0.25">
      <c r="A10" s="1" t="str">
        <f t="shared" si="2"/>
        <v/>
      </c>
      <c r="B10" s="3" t="str">
        <f>IFERROR(REPLACE(INDEX(roadmap,1,ROW()),1,FIND("]",INDEX(roadmap,1,ROW())),""),"")</f>
        <v/>
      </c>
      <c r="C10" s="4" t="str">
        <f t="shared" si="3"/>
        <v/>
      </c>
    </row>
    <row r="11" spans="1:3" x14ac:dyDescent="0.25">
      <c r="A11" s="1" t="str">
        <f t="shared" si="2"/>
        <v/>
      </c>
      <c r="B11" s="3" t="str">
        <f>IFERROR(REPLACE(INDEX(roadmap,1,ROW()),1,FIND("]",INDEX(roadmap,1,ROW())),""),"")</f>
        <v/>
      </c>
      <c r="C11" s="4" t="str">
        <f t="shared" si="3"/>
        <v/>
      </c>
    </row>
    <row r="12" spans="1:3" x14ac:dyDescent="0.25">
      <c r="A12" s="1" t="str">
        <f t="shared" si="2"/>
        <v/>
      </c>
      <c r="B12" s="3" t="str">
        <f>IFERROR(REPLACE(INDEX(roadmap,1,ROW()),1,FIND("]",INDEX(roadmap,1,ROW())),""),"")</f>
        <v/>
      </c>
      <c r="C12" s="4" t="str">
        <f t="shared" si="3"/>
        <v/>
      </c>
    </row>
    <row r="13" spans="1:3" x14ac:dyDescent="0.25">
      <c r="A13" s="1" t="str">
        <f t="shared" si="2"/>
        <v/>
      </c>
      <c r="B13" s="3" t="str">
        <f>IFERROR(REPLACE(INDEX(roadmap,1,ROW()),1,FIND("]",INDEX(roadmap,1,ROW())),""),"")</f>
        <v/>
      </c>
      <c r="C13" s="4" t="str">
        <f t="shared" si="3"/>
        <v/>
      </c>
    </row>
    <row r="14" spans="1:3" x14ac:dyDescent="0.25">
      <c r="A14" s="1" t="str">
        <f t="shared" si="2"/>
        <v/>
      </c>
      <c r="B14" s="3" t="str">
        <f>IFERROR(REPLACE(INDEX(roadmap,1,ROW()),1,FIND("]",INDEX(roadmap,1,ROW())),""),"")</f>
        <v/>
      </c>
      <c r="C14" s="4" t="str">
        <f t="shared" si="3"/>
        <v/>
      </c>
    </row>
    <row r="15" spans="1:3" x14ac:dyDescent="0.25">
      <c r="A15" s="1" t="str">
        <f t="shared" si="2"/>
        <v/>
      </c>
      <c r="B15" s="3" t="str">
        <f>IFERROR(REPLACE(INDEX(roadmap,1,ROW()),1,FIND("]",INDEX(roadmap,1,ROW())),""),"")</f>
        <v/>
      </c>
      <c r="C15" s="4" t="str">
        <f t="shared" si="3"/>
        <v/>
      </c>
    </row>
    <row r="16" spans="1:3" x14ac:dyDescent="0.25">
      <c r="A16" s="1" t="str">
        <f t="shared" si="2"/>
        <v/>
      </c>
      <c r="B16" s="3" t="str">
        <f>IFERROR(REPLACE(INDEX(roadmap,1,ROW()),1,FIND("]",INDEX(roadmap,1,ROW())),""),"")</f>
        <v/>
      </c>
      <c r="C16" s="4" t="str">
        <f t="shared" si="3"/>
        <v/>
      </c>
    </row>
    <row r="17" spans="1:3" x14ac:dyDescent="0.25">
      <c r="A17" s="1" t="str">
        <f t="shared" ref="A17:A37" si="4">IF(B17&lt;&gt;"",ROW()-1,"")</f>
        <v/>
      </c>
      <c r="B17" s="3" t="str">
        <f>IFERROR(REPLACE(INDEX(roadmap,1,ROW()),1,FIND("]",INDEX(roadmap,1,ROW())),""),"")</f>
        <v/>
      </c>
      <c r="C17" s="4" t="str">
        <f t="shared" ref="C17:C37" si="5">IF(B17&lt;&gt;"",HYPERLINK("#"&amp;B17&amp;"!A1","Link"),"")</f>
        <v/>
      </c>
    </row>
    <row r="18" spans="1:3" x14ac:dyDescent="0.25">
      <c r="A18" s="1" t="str">
        <f t="shared" si="4"/>
        <v/>
      </c>
      <c r="B18" s="3" t="str">
        <f>IFERROR(REPLACE(INDEX(roadmap,1,ROW()),1,FIND("]",INDEX(roadmap,1,ROW())),""),"")</f>
        <v/>
      </c>
      <c r="C18" s="4" t="str">
        <f t="shared" si="5"/>
        <v/>
      </c>
    </row>
    <row r="19" spans="1:3" x14ac:dyDescent="0.25">
      <c r="A19" s="1" t="str">
        <f t="shared" si="4"/>
        <v/>
      </c>
      <c r="B19" s="3" t="str">
        <f>IFERROR(REPLACE(INDEX(roadmap,1,ROW()),1,FIND("]",INDEX(roadmap,1,ROW())),""),"")</f>
        <v/>
      </c>
      <c r="C19" s="4" t="str">
        <f t="shared" si="5"/>
        <v/>
      </c>
    </row>
    <row r="20" spans="1:3" x14ac:dyDescent="0.25">
      <c r="A20" s="1" t="str">
        <f t="shared" si="4"/>
        <v/>
      </c>
      <c r="B20" s="3" t="str">
        <f>IFERROR(REPLACE(INDEX(roadmap,1,ROW()),1,FIND("]",INDEX(roadmap,1,ROW())),""),"")</f>
        <v/>
      </c>
      <c r="C20" s="4" t="str">
        <f t="shared" si="5"/>
        <v/>
      </c>
    </row>
    <row r="21" spans="1:3" x14ac:dyDescent="0.25">
      <c r="A21" s="1" t="str">
        <f t="shared" si="4"/>
        <v/>
      </c>
      <c r="B21" s="3" t="str">
        <f>IFERROR(REPLACE(INDEX(roadmap,1,ROW()),1,FIND("]",INDEX(roadmap,1,ROW())),""),"")</f>
        <v/>
      </c>
      <c r="C21" s="4" t="str">
        <f t="shared" si="5"/>
        <v/>
      </c>
    </row>
    <row r="22" spans="1:3" x14ac:dyDescent="0.25">
      <c r="A22" s="1" t="str">
        <f t="shared" si="4"/>
        <v/>
      </c>
      <c r="B22" s="3" t="str">
        <f>IFERROR(REPLACE(INDEX(roadmap,1,ROW()),1,FIND("]",INDEX(roadmap,1,ROW())),""),"")</f>
        <v/>
      </c>
      <c r="C22" s="4" t="str">
        <f t="shared" si="5"/>
        <v/>
      </c>
    </row>
    <row r="23" spans="1:3" x14ac:dyDescent="0.25">
      <c r="A23" s="1" t="str">
        <f t="shared" si="4"/>
        <v/>
      </c>
      <c r="B23" s="3" t="str">
        <f>IFERROR(REPLACE(INDEX(roadmap,1,ROW()),1,FIND("]",INDEX(roadmap,1,ROW())),""),"")</f>
        <v/>
      </c>
      <c r="C23" s="4" t="str">
        <f t="shared" si="5"/>
        <v/>
      </c>
    </row>
    <row r="24" spans="1:3" x14ac:dyDescent="0.25">
      <c r="A24" s="1" t="str">
        <f t="shared" si="4"/>
        <v/>
      </c>
      <c r="B24" s="3" t="str">
        <f>IFERROR(REPLACE(INDEX(roadmap,1,ROW()),1,FIND("]",INDEX(roadmap,1,ROW())),""),"")</f>
        <v/>
      </c>
      <c r="C24" s="4" t="str">
        <f t="shared" si="5"/>
        <v/>
      </c>
    </row>
    <row r="25" spans="1:3" x14ac:dyDescent="0.25">
      <c r="A25" s="1" t="str">
        <f t="shared" si="4"/>
        <v/>
      </c>
      <c r="B25" s="3" t="str">
        <f>IFERROR(REPLACE(INDEX(roadmap,1,ROW()),1,FIND("]",INDEX(roadmap,1,ROW())),""),"")</f>
        <v/>
      </c>
      <c r="C25" s="4" t="str">
        <f t="shared" si="5"/>
        <v/>
      </c>
    </row>
    <row r="26" spans="1:3" x14ac:dyDescent="0.25">
      <c r="A26" s="1" t="str">
        <f t="shared" si="4"/>
        <v/>
      </c>
      <c r="B26" s="3" t="str">
        <f>IFERROR(REPLACE(INDEX(roadmap,1,ROW()),1,FIND("]",INDEX(roadmap,1,ROW())),""),"")</f>
        <v/>
      </c>
      <c r="C26" s="4" t="str">
        <f t="shared" si="5"/>
        <v/>
      </c>
    </row>
    <row r="27" spans="1:3" x14ac:dyDescent="0.25">
      <c r="A27" s="1" t="str">
        <f t="shared" si="4"/>
        <v/>
      </c>
      <c r="B27" s="3" t="str">
        <f>IFERROR(REPLACE(INDEX(roadmap,1,ROW()),1,FIND("]",INDEX(roadmap,1,ROW())),""),"")</f>
        <v/>
      </c>
      <c r="C27" s="4" t="str">
        <f t="shared" si="5"/>
        <v/>
      </c>
    </row>
    <row r="28" spans="1:3" x14ac:dyDescent="0.25">
      <c r="A28" s="1" t="str">
        <f t="shared" si="4"/>
        <v/>
      </c>
      <c r="B28" s="3" t="str">
        <f>IFERROR(REPLACE(INDEX(roadmap,1,ROW()),1,FIND("]",INDEX(roadmap,1,ROW())),""),"")</f>
        <v/>
      </c>
      <c r="C28" s="4" t="str">
        <f t="shared" si="5"/>
        <v/>
      </c>
    </row>
    <row r="29" spans="1:3" x14ac:dyDescent="0.25">
      <c r="A29" s="1" t="str">
        <f t="shared" si="4"/>
        <v/>
      </c>
      <c r="B29" s="3" t="str">
        <f>IFERROR(REPLACE(INDEX(roadmap,1,ROW()),1,FIND("]",INDEX(roadmap,1,ROW())),""),"")</f>
        <v/>
      </c>
      <c r="C29" s="4" t="str">
        <f t="shared" si="5"/>
        <v/>
      </c>
    </row>
    <row r="30" spans="1:3" x14ac:dyDescent="0.25">
      <c r="A30" s="1" t="str">
        <f t="shared" si="4"/>
        <v/>
      </c>
      <c r="B30" s="3" t="str">
        <f>IFERROR(REPLACE(INDEX(roadmap,1,ROW()),1,FIND("]",INDEX(roadmap,1,ROW())),""),"")</f>
        <v/>
      </c>
      <c r="C30" s="4" t="str">
        <f t="shared" si="5"/>
        <v/>
      </c>
    </row>
    <row r="31" spans="1:3" x14ac:dyDescent="0.25">
      <c r="A31" s="1" t="str">
        <f t="shared" si="4"/>
        <v/>
      </c>
      <c r="B31" s="3" t="str">
        <f>IFERROR(REPLACE(INDEX(roadmap,1,ROW()),1,FIND("]",INDEX(roadmap,1,ROW())),""),"")</f>
        <v/>
      </c>
      <c r="C31" s="4" t="str">
        <f t="shared" si="5"/>
        <v/>
      </c>
    </row>
    <row r="32" spans="1:3" x14ac:dyDescent="0.25">
      <c r="A32" s="1" t="str">
        <f t="shared" si="4"/>
        <v/>
      </c>
      <c r="B32" s="3" t="str">
        <f>IFERROR(REPLACE(INDEX(roadmap,1,ROW()),1,FIND("]",INDEX(roadmap,1,ROW())),""),"")</f>
        <v/>
      </c>
      <c r="C32" s="4" t="str">
        <f t="shared" si="5"/>
        <v/>
      </c>
    </row>
    <row r="33" spans="1:3" x14ac:dyDescent="0.25">
      <c r="A33" s="1" t="str">
        <f t="shared" si="4"/>
        <v/>
      </c>
      <c r="B33" s="3" t="str">
        <f>IFERROR(REPLACE(INDEX(roadmap,1,ROW()),1,FIND("]",INDEX(roadmap,1,ROW())),""),"")</f>
        <v/>
      </c>
      <c r="C33" s="4" t="str">
        <f t="shared" si="5"/>
        <v/>
      </c>
    </row>
    <row r="34" spans="1:3" x14ac:dyDescent="0.25">
      <c r="A34" s="1" t="str">
        <f t="shared" si="4"/>
        <v/>
      </c>
      <c r="B34" s="3" t="str">
        <f>IFERROR(REPLACE(INDEX(roadmap,1,ROW()),1,FIND("]",INDEX(roadmap,1,ROW())),""),"")</f>
        <v/>
      </c>
      <c r="C34" s="4" t="str">
        <f t="shared" si="5"/>
        <v/>
      </c>
    </row>
    <row r="35" spans="1:3" x14ac:dyDescent="0.25">
      <c r="A35" s="1" t="str">
        <f t="shared" si="4"/>
        <v/>
      </c>
      <c r="B35" s="3" t="str">
        <f>IFERROR(REPLACE(INDEX(roadmap,1,ROW()),1,FIND("]",INDEX(roadmap,1,ROW())),""),"")</f>
        <v/>
      </c>
      <c r="C35" s="4" t="str">
        <f t="shared" si="5"/>
        <v/>
      </c>
    </row>
    <row r="36" spans="1:3" x14ac:dyDescent="0.25">
      <c r="A36" s="1" t="str">
        <f t="shared" si="4"/>
        <v/>
      </c>
      <c r="B36" s="3" t="str">
        <f>IFERROR(REPLACE(INDEX(roadmap,1,ROW()),1,FIND("]",INDEX(roadmap,1,ROW())),""),"")</f>
        <v/>
      </c>
      <c r="C36" s="4" t="str">
        <f t="shared" si="5"/>
        <v/>
      </c>
    </row>
    <row r="37" spans="1:3" x14ac:dyDescent="0.25">
      <c r="A37" s="1" t="str">
        <f t="shared" si="4"/>
        <v/>
      </c>
      <c r="B37" s="3" t="str">
        <f>IFERROR(REPLACE(INDEX(roadmap,1,ROW()),1,FIND("]",INDEX(roadmap,1,ROW())),""),"")</f>
        <v/>
      </c>
      <c r="C37" s="4" t="str">
        <f t="shared" si="5"/>
        <v/>
      </c>
    </row>
  </sheetData>
  <phoneticPr fontId="1" type="noConversion"/>
  <pageMargins left="0.7" right="0.7" top="0.75" bottom="0.75" header="0.3" footer="0.3"/>
  <pageSetup paperSize="9" orientation="portrait" horizontalDpi="30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B3285-CE26-49A6-87B7-3528FFB100FD}">
  <sheetPr codeName="Sheet3"/>
  <dimension ref="A1:F45"/>
  <sheetViews>
    <sheetView showGridLines="0" zoomScale="190" zoomScaleNormal="190" workbookViewId="0">
      <pane xSplit="1" ySplit="1" topLeftCell="B2" activePane="bottomRight" state="frozen"/>
      <selection pane="topRight" activeCell="B1" sqref="B1"/>
      <selection pane="bottomLeft" activeCell="A2" sqref="A2"/>
      <selection pane="bottomRight"/>
    </sheetView>
  </sheetViews>
  <sheetFormatPr defaultRowHeight="13.8" x14ac:dyDescent="0.25"/>
  <sheetData>
    <row r="1" spans="1:6" x14ac:dyDescent="0.25">
      <c r="A1" s="5" t="s">
        <v>3</v>
      </c>
    </row>
    <row r="2" spans="1:6" ht="20.399999999999999" x14ac:dyDescent="0.25">
      <c r="A2" s="5"/>
      <c r="B2" s="10" t="s">
        <v>14</v>
      </c>
      <c r="C2" s="9"/>
      <c r="D2" s="9"/>
      <c r="E2" s="9"/>
      <c r="F2" s="9"/>
    </row>
    <row r="4" spans="1:6" x14ac:dyDescent="0.25">
      <c r="B4" s="3" t="s">
        <v>15</v>
      </c>
    </row>
    <row r="17" spans="2:2" ht="15" x14ac:dyDescent="0.25">
      <c r="B17" s="11" t="s">
        <v>16</v>
      </c>
    </row>
    <row r="18" spans="2:2" x14ac:dyDescent="0.25">
      <c r="B18" t="s">
        <v>17</v>
      </c>
    </row>
    <row r="20" spans="2:2" x14ac:dyDescent="0.25">
      <c r="B20" t="s">
        <v>18</v>
      </c>
    </row>
    <row r="21" spans="2:2" x14ac:dyDescent="0.25">
      <c r="B21" t="s">
        <v>19</v>
      </c>
    </row>
    <row r="32" spans="2:2" x14ac:dyDescent="0.25">
      <c r="B32" s="12" t="s">
        <v>20</v>
      </c>
    </row>
    <row r="33" spans="2:2" x14ac:dyDescent="0.25">
      <c r="B33" t="s">
        <v>32</v>
      </c>
    </row>
    <row r="34" spans="2:2" x14ac:dyDescent="0.25">
      <c r="B34" t="s">
        <v>21</v>
      </c>
    </row>
    <row r="35" spans="2:2" x14ac:dyDescent="0.25">
      <c r="B35" t="s">
        <v>22</v>
      </c>
    </row>
    <row r="36" spans="2:2" x14ac:dyDescent="0.25">
      <c r="B36" t="s">
        <v>23</v>
      </c>
    </row>
    <row r="38" spans="2:2" x14ac:dyDescent="0.25">
      <c r="B38" s="3" t="s">
        <v>24</v>
      </c>
    </row>
    <row r="39" spans="2:2" x14ac:dyDescent="0.25">
      <c r="B39" t="s">
        <v>25</v>
      </c>
    </row>
    <row r="40" spans="2:2" x14ac:dyDescent="0.25">
      <c r="B40" t="s">
        <v>26</v>
      </c>
    </row>
    <row r="41" spans="2:2" x14ac:dyDescent="0.25">
      <c r="B41" t="s">
        <v>27</v>
      </c>
    </row>
    <row r="42" spans="2:2" x14ac:dyDescent="0.25">
      <c r="B42" t="s">
        <v>28</v>
      </c>
    </row>
    <row r="43" spans="2:2" x14ac:dyDescent="0.25">
      <c r="B43" t="s">
        <v>29</v>
      </c>
    </row>
    <row r="44" spans="2:2" x14ac:dyDescent="0.25">
      <c r="B44" t="s">
        <v>30</v>
      </c>
    </row>
    <row r="45" spans="2:2" x14ac:dyDescent="0.25">
      <c r="B45" t="s">
        <v>31</v>
      </c>
    </row>
  </sheetData>
  <phoneticPr fontId="1" type="noConversion"/>
  <hyperlinks>
    <hyperlink ref="A1" location="目录!A1" display="Back" xr:uid="{30D3B09A-2C29-4603-A210-D73942361CBA}"/>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8CDE-D687-4221-BEC1-8C8465A3B134}">
  <sheetPr codeName="Sheet2"/>
  <dimension ref="A1:F49"/>
  <sheetViews>
    <sheetView showGridLines="0" zoomScale="130" zoomScaleNormal="130" workbookViewId="0">
      <pane xSplit="1" ySplit="1" topLeftCell="B2" activePane="bottomRight" state="frozen"/>
      <selection pane="topRight" activeCell="B1" sqref="B1"/>
      <selection pane="bottomLeft" activeCell="A2" sqref="A2"/>
      <selection pane="bottomRight"/>
    </sheetView>
  </sheetViews>
  <sheetFormatPr defaultRowHeight="13.8" x14ac:dyDescent="0.25"/>
  <cols>
    <col min="2" max="2" width="16.88671875" bestFit="1" customWidth="1"/>
    <col min="5" max="5" width="24.33203125" bestFit="1" customWidth="1"/>
  </cols>
  <sheetData>
    <row r="1" spans="1:6" x14ac:dyDescent="0.25">
      <c r="A1" s="5" t="s">
        <v>3</v>
      </c>
    </row>
    <row r="2" spans="1:6" ht="20.399999999999999" x14ac:dyDescent="0.25">
      <c r="A2" s="5"/>
      <c r="B2" s="10" t="s">
        <v>42</v>
      </c>
      <c r="C2" s="9"/>
      <c r="D2" s="9"/>
      <c r="E2" s="9"/>
      <c r="F2" s="9"/>
    </row>
    <row r="12" spans="1:6" x14ac:dyDescent="0.25">
      <c r="B12" s="9" t="s">
        <v>33</v>
      </c>
      <c r="C12" s="14">
        <v>50</v>
      </c>
    </row>
    <row r="13" spans="1:6" x14ac:dyDescent="0.25">
      <c r="B13" s="9" t="s">
        <v>34</v>
      </c>
      <c r="C13" s="14">
        <v>45</v>
      </c>
    </row>
    <row r="14" spans="1:6" x14ac:dyDescent="0.25">
      <c r="B14" s="9" t="s">
        <v>35</v>
      </c>
      <c r="C14" s="15">
        <v>0.04</v>
      </c>
    </row>
    <row r="15" spans="1:6" x14ac:dyDescent="0.25">
      <c r="B15" s="9" t="s">
        <v>36</v>
      </c>
      <c r="C15" s="14">
        <v>0.75</v>
      </c>
    </row>
    <row r="16" spans="1:6" x14ac:dyDescent="0.25">
      <c r="B16" s="9" t="s">
        <v>37</v>
      </c>
      <c r="C16" s="15">
        <v>0.3</v>
      </c>
    </row>
    <row r="18" spans="2:5" ht="16.2" x14ac:dyDescent="0.25">
      <c r="B18" s="9" t="s">
        <v>38</v>
      </c>
      <c r="C18" s="17">
        <f>(LN(S/X)+(rate+(Sigma^2)/2)*T)/(Sigma*SQRT(T))</f>
        <v>0.65090667825228321</v>
      </c>
      <c r="D18" t="str">
        <f ca="1">IFERROR(_xlfn.FORMULATEXT(C18),"")</f>
        <v>=(LN(S/X)+(rate+(Sigma^2)/2)*T)/(Sigma*SQRT(T))</v>
      </c>
    </row>
    <row r="19" spans="2:5" ht="16.2" x14ac:dyDescent="0.25">
      <c r="B19" s="9" t="s">
        <v>39</v>
      </c>
      <c r="C19" s="17">
        <f>C18-Sigma*SQRT(T)</f>
        <v>0.39109905711695164</v>
      </c>
      <c r="D19" t="str">
        <f ca="1">IFERROR(_xlfn.FORMULATEXT(C19),"")</f>
        <v>=C18-Sigma*SQRT(T)</v>
      </c>
    </row>
    <row r="21" spans="2:5" ht="16.2" x14ac:dyDescent="0.25">
      <c r="B21" s="9" t="s">
        <v>40</v>
      </c>
      <c r="C21">
        <f>_xlfn.NORM.S.DIST(C18,TRUE)</f>
        <v>0.74244663489664375</v>
      </c>
      <c r="D21" t="str">
        <f ca="1">IFERROR(_xlfn.FORMULATEXT(C21),"")</f>
        <v>=NORM.S.DIST(C18,TRUE)</v>
      </c>
    </row>
    <row r="22" spans="2:5" ht="16.2" x14ac:dyDescent="0.25">
      <c r="B22" s="9" t="s">
        <v>41</v>
      </c>
      <c r="C22">
        <f>_xlfn.NORM.S.DIST(C19,TRUE)</f>
        <v>0.65213799122144234</v>
      </c>
      <c r="D22" t="str">
        <f ca="1">IFERROR(_xlfn.FORMULATEXT(C22),"")</f>
        <v>=NORM.S.DIST(C19,TRUE)</v>
      </c>
    </row>
    <row r="24" spans="2:5" x14ac:dyDescent="0.25">
      <c r="B24" s="9" t="s">
        <v>5</v>
      </c>
      <c r="C24">
        <f>S*C21-X*EXP(-rate*T)*C22</f>
        <v>8.6434337071156619</v>
      </c>
      <c r="D24" t="str">
        <f ca="1">IFERROR(_xlfn.FORMULATEXT(C24),"")</f>
        <v>=S*C21-X*EXP(-rate*T)*C22</v>
      </c>
    </row>
    <row r="25" spans="2:5" x14ac:dyDescent="0.25">
      <c r="B25" s="9" t="s">
        <v>6</v>
      </c>
      <c r="C25">
        <f>C24+X*EXP(-rate*T)-S</f>
        <v>2.3134827167985321</v>
      </c>
      <c r="D25" t="str">
        <f ca="1">IFERROR(_xlfn.FORMULATEXT(C25),"")</f>
        <v>=C24+X*EXP(-rate*T)-S</v>
      </c>
    </row>
    <row r="27" spans="2:5" x14ac:dyDescent="0.25">
      <c r="B27" s="9" t="s">
        <v>7</v>
      </c>
      <c r="C27">
        <f>C24</f>
        <v>8.6434337071156619</v>
      </c>
      <c r="D27" t="s">
        <v>78</v>
      </c>
    </row>
    <row r="28" spans="2:5" x14ac:dyDescent="0.25">
      <c r="B28">
        <v>5</v>
      </c>
      <c r="C28" s="25">
        <f t="dataTable" ref="C28:C44" dt2D="0" dtr="0" r1="C12"/>
        <v>1.6271103795261353E-17</v>
      </c>
      <c r="D28">
        <f>MAX(B28-X,0)</f>
        <v>0</v>
      </c>
      <c r="E28" s="26">
        <f>C28-D28</f>
        <v>1.6271103795261353E-17</v>
      </c>
    </row>
    <row r="29" spans="2:5" x14ac:dyDescent="0.25">
      <c r="B29">
        <v>10</v>
      </c>
      <c r="C29" s="25">
        <v>6.2724512246643584E-9</v>
      </c>
      <c r="D29">
        <f>MAX(B29-X,0)</f>
        <v>0</v>
      </c>
      <c r="E29" s="26">
        <f t="shared" ref="E29:E44" si="0">C29-D29</f>
        <v>6.2724512246643584E-9</v>
      </c>
    </row>
    <row r="30" spans="2:5" x14ac:dyDescent="0.25">
      <c r="B30">
        <f>B29+5</f>
        <v>15</v>
      </c>
      <c r="C30" s="25">
        <v>2.8392918447725339E-5</v>
      </c>
      <c r="D30">
        <f>MAX(B30-X,0)</f>
        <v>0</v>
      </c>
      <c r="E30" s="26">
        <f t="shared" si="0"/>
        <v>2.8392918447725339E-5</v>
      </c>
    </row>
    <row r="31" spans="2:5" x14ac:dyDescent="0.25">
      <c r="B31">
        <f t="shared" ref="B31:B44" si="1">B30+5</f>
        <v>20</v>
      </c>
      <c r="C31" s="25">
        <v>2.8537602395158762E-3</v>
      </c>
      <c r="D31">
        <f>MAX(B31-X,0)</f>
        <v>0</v>
      </c>
      <c r="E31" s="26">
        <f t="shared" si="0"/>
        <v>2.8537602395158762E-3</v>
      </c>
    </row>
    <row r="32" spans="2:5" x14ac:dyDescent="0.25">
      <c r="B32">
        <f t="shared" si="1"/>
        <v>25</v>
      </c>
      <c r="C32" s="25">
        <v>4.8405224028071792E-2</v>
      </c>
      <c r="D32">
        <f>MAX(B32-X,0)</f>
        <v>0</v>
      </c>
      <c r="E32" s="26">
        <f t="shared" si="0"/>
        <v>4.8405224028071792E-2</v>
      </c>
    </row>
    <row r="33" spans="2:5" x14ac:dyDescent="0.25">
      <c r="B33">
        <f t="shared" si="1"/>
        <v>30</v>
      </c>
      <c r="C33" s="25">
        <v>0.31005154938344548</v>
      </c>
      <c r="D33">
        <f>MAX(B33-X,0)</f>
        <v>0</v>
      </c>
      <c r="E33" s="26">
        <f t="shared" si="0"/>
        <v>0.31005154938344548</v>
      </c>
    </row>
    <row r="34" spans="2:5" x14ac:dyDescent="0.25">
      <c r="B34">
        <f t="shared" si="1"/>
        <v>35</v>
      </c>
      <c r="C34" s="25">
        <v>1.1076855598914648</v>
      </c>
      <c r="D34">
        <f>MAX(B34-X,0)</f>
        <v>0</v>
      </c>
      <c r="E34" s="26">
        <f t="shared" si="0"/>
        <v>1.1076855598914648</v>
      </c>
    </row>
    <row r="35" spans="2:5" x14ac:dyDescent="0.25">
      <c r="B35">
        <f t="shared" si="1"/>
        <v>40</v>
      </c>
      <c r="C35" s="25">
        <v>2.7318630834502908</v>
      </c>
      <c r="D35">
        <f>MAX(B35-X,0)</f>
        <v>0</v>
      </c>
      <c r="E35" s="26">
        <f t="shared" si="0"/>
        <v>2.7318630834502908</v>
      </c>
    </row>
    <row r="36" spans="2:5" x14ac:dyDescent="0.25">
      <c r="B36">
        <f t="shared" si="1"/>
        <v>45</v>
      </c>
      <c r="C36" s="25">
        <v>5.2776725210471618</v>
      </c>
      <c r="D36">
        <f>MAX(B36-X,0)</f>
        <v>0</v>
      </c>
      <c r="E36" s="26">
        <f t="shared" si="0"/>
        <v>5.2776725210471618</v>
      </c>
    </row>
    <row r="37" spans="2:5" x14ac:dyDescent="0.25">
      <c r="B37">
        <f t="shared" si="1"/>
        <v>50</v>
      </c>
      <c r="C37" s="25">
        <v>8.6434337071156619</v>
      </c>
      <c r="D37">
        <f>MAX(B37-X,0)</f>
        <v>5</v>
      </c>
      <c r="E37" s="26">
        <f t="shared" si="0"/>
        <v>3.6434337071156619</v>
      </c>
    </row>
    <row r="38" spans="2:5" x14ac:dyDescent="0.25">
      <c r="B38">
        <f t="shared" si="1"/>
        <v>55</v>
      </c>
      <c r="C38" s="25">
        <v>12.6307309804506</v>
      </c>
      <c r="D38">
        <f>MAX(B38-X,0)</f>
        <v>10</v>
      </c>
      <c r="E38" s="26">
        <f t="shared" si="0"/>
        <v>2.6307309804506005</v>
      </c>
    </row>
    <row r="39" spans="2:5" x14ac:dyDescent="0.25">
      <c r="B39">
        <f t="shared" si="1"/>
        <v>60</v>
      </c>
      <c r="C39" s="25">
        <v>17.037833435617188</v>
      </c>
      <c r="D39">
        <f>MAX(B39-X,0)</f>
        <v>15</v>
      </c>
      <c r="E39" s="26">
        <f t="shared" si="0"/>
        <v>2.0378334356171877</v>
      </c>
    </row>
    <row r="40" spans="2:5" x14ac:dyDescent="0.25">
      <c r="B40">
        <f t="shared" si="1"/>
        <v>65</v>
      </c>
      <c r="C40" s="25">
        <v>21.705621303373071</v>
      </c>
      <c r="D40">
        <f>MAX(B40-X,0)</f>
        <v>20</v>
      </c>
      <c r="E40" s="26">
        <f t="shared" si="0"/>
        <v>1.7056213033730714</v>
      </c>
    </row>
    <row r="41" spans="2:5" x14ac:dyDescent="0.25">
      <c r="B41">
        <f t="shared" si="1"/>
        <v>70</v>
      </c>
      <c r="C41" s="25">
        <v>26.525589687810623</v>
      </c>
      <c r="D41">
        <f>MAX(B41-X,0)</f>
        <v>25</v>
      </c>
      <c r="E41" s="26">
        <f t="shared" si="0"/>
        <v>1.5255896878106228</v>
      </c>
    </row>
    <row r="42" spans="2:5" x14ac:dyDescent="0.25">
      <c r="B42">
        <f t="shared" si="1"/>
        <v>75</v>
      </c>
      <c r="C42" s="25">
        <v>31.430439448391141</v>
      </c>
      <c r="D42">
        <f>MAX(B42-X,0)</f>
        <v>30</v>
      </c>
      <c r="E42" s="26">
        <f t="shared" si="0"/>
        <v>1.4304394483911409</v>
      </c>
    </row>
    <row r="43" spans="2:5" x14ac:dyDescent="0.25">
      <c r="B43">
        <f t="shared" si="1"/>
        <v>80</v>
      </c>
      <c r="C43" s="25">
        <v>36.381069196126973</v>
      </c>
      <c r="D43">
        <f>MAX(B43-X,0)</f>
        <v>35</v>
      </c>
      <c r="E43" s="26">
        <f t="shared" si="0"/>
        <v>1.3810691961269725</v>
      </c>
    </row>
    <row r="44" spans="2:5" x14ac:dyDescent="0.25">
      <c r="B44">
        <f t="shared" si="1"/>
        <v>85</v>
      </c>
      <c r="C44" s="25">
        <v>41.355789404586439</v>
      </c>
      <c r="D44">
        <f>MAX(B44-X,0)</f>
        <v>40</v>
      </c>
      <c r="E44" s="26">
        <f t="shared" si="0"/>
        <v>1.3557894045864387</v>
      </c>
    </row>
    <row r="48" spans="2:5" x14ac:dyDescent="0.25">
      <c r="B48" s="9" t="s">
        <v>8</v>
      </c>
      <c r="C48" s="14" cm="1">
        <f t="array" ref="C48">BSCall(S,X,T,rate,Sigma)</f>
        <v>8.6434337071156619</v>
      </c>
    </row>
    <row r="49" spans="2:3" x14ac:dyDescent="0.25">
      <c r="B49" s="9" t="s">
        <v>9</v>
      </c>
      <c r="C49" s="14" cm="1">
        <f t="array" ref="C49">BSput(S,X,T,rate,Sigma)</f>
        <v>2.3134827167985339</v>
      </c>
    </row>
  </sheetData>
  <phoneticPr fontId="1" type="noConversion"/>
  <hyperlinks>
    <hyperlink ref="A1" location="目录!A1" display="Back" xr:uid="{83F69F4D-A27D-460F-995F-41858787BE7D}"/>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91D58-9173-43BB-951A-78EFA0A95171}">
  <sheetPr codeName="Sheet4"/>
  <dimension ref="A1:F21"/>
  <sheetViews>
    <sheetView showGridLines="0" zoomScale="160" zoomScaleNormal="160" workbookViewId="0">
      <pane xSplit="1" ySplit="1" topLeftCell="B2" activePane="bottomRight" state="frozen"/>
      <selection pane="topRight" activeCell="B1" sqref="B1"/>
      <selection pane="bottomLeft" activeCell="A2" sqref="A2"/>
      <selection pane="bottomRight"/>
    </sheetView>
  </sheetViews>
  <sheetFormatPr defaultRowHeight="13.8" x14ac:dyDescent="0.25"/>
  <cols>
    <col min="2" max="2" width="17.88671875" bestFit="1" customWidth="1"/>
    <col min="3" max="5" width="20.44140625" bestFit="1" customWidth="1"/>
    <col min="6" max="6" width="21" bestFit="1" customWidth="1"/>
  </cols>
  <sheetData>
    <row r="1" spans="1:6" x14ac:dyDescent="0.25">
      <c r="A1" s="5" t="s">
        <v>3</v>
      </c>
    </row>
    <row r="2" spans="1:6" ht="20.399999999999999" x14ac:dyDescent="0.25">
      <c r="B2" s="10" t="s">
        <v>43</v>
      </c>
      <c r="C2" s="9"/>
      <c r="D2" s="9"/>
      <c r="E2" s="9"/>
      <c r="F2" s="9"/>
    </row>
    <row r="4" spans="1:6" x14ac:dyDescent="0.25">
      <c r="B4" s="9" t="s">
        <v>44</v>
      </c>
      <c r="C4" s="16" t="s">
        <v>45</v>
      </c>
    </row>
    <row r="5" spans="1:6" x14ac:dyDescent="0.25">
      <c r="B5" s="9" t="s">
        <v>46</v>
      </c>
      <c r="C5" t="s">
        <v>47</v>
      </c>
    </row>
    <row r="6" spans="1:6" x14ac:dyDescent="0.25">
      <c r="B6" s="9" t="s">
        <v>48</v>
      </c>
      <c r="C6" s="17">
        <v>2.3650000000000002</v>
      </c>
    </row>
    <row r="7" spans="1:6" x14ac:dyDescent="0.25">
      <c r="B7" s="9" t="s">
        <v>49</v>
      </c>
      <c r="C7" s="7">
        <v>44923</v>
      </c>
      <c r="E7" t="s">
        <v>50</v>
      </c>
    </row>
    <row r="8" spans="1:6" x14ac:dyDescent="0.25">
      <c r="B8" s="9" t="s">
        <v>51</v>
      </c>
      <c r="C8" s="7">
        <v>44862</v>
      </c>
    </row>
    <row r="9" spans="1:6" x14ac:dyDescent="0.25">
      <c r="B9" s="9" t="s">
        <v>52</v>
      </c>
      <c r="C9">
        <f>C7-C8</f>
        <v>61</v>
      </c>
      <c r="D9">
        <f>C9/365</f>
        <v>0.16712328767123288</v>
      </c>
    </row>
    <row r="10" spans="1:6" x14ac:dyDescent="0.25">
      <c r="B10" s="9" t="s">
        <v>53</v>
      </c>
      <c r="C10" s="13" t="s">
        <v>55</v>
      </c>
    </row>
    <row r="11" spans="1:6" x14ac:dyDescent="0.25">
      <c r="B11" s="9" t="s">
        <v>11</v>
      </c>
      <c r="C11" s="13" t="s">
        <v>56</v>
      </c>
    </row>
    <row r="12" spans="1:6" x14ac:dyDescent="0.25">
      <c r="B12" s="9" t="s">
        <v>54</v>
      </c>
      <c r="C12" s="6">
        <v>0.30769999999999997</v>
      </c>
    </row>
    <row r="13" spans="1:6" x14ac:dyDescent="0.25">
      <c r="B13" s="9" t="s">
        <v>57</v>
      </c>
      <c r="C13" s="20">
        <v>3.1</v>
      </c>
    </row>
    <row r="15" spans="1:6" x14ac:dyDescent="0.25">
      <c r="C15" s="18" t="s">
        <v>12</v>
      </c>
      <c r="D15" s="18" t="s">
        <v>10</v>
      </c>
      <c r="E15" s="18" t="s">
        <v>13</v>
      </c>
      <c r="F15" s="18" t="s">
        <v>60</v>
      </c>
    </row>
    <row r="16" spans="1:6" x14ac:dyDescent="0.25">
      <c r="B16" s="9" t="s">
        <v>58</v>
      </c>
      <c r="C16" s="7">
        <v>44862</v>
      </c>
      <c r="D16" s="7">
        <f>EDATE(C16,1)</f>
        <v>44893</v>
      </c>
      <c r="E16">
        <f>D16-C16</f>
        <v>31</v>
      </c>
      <c r="F16" s="8">
        <v>1.6750000000000001E-2</v>
      </c>
    </row>
    <row r="17" spans="2:6" x14ac:dyDescent="0.25">
      <c r="B17" s="9" t="s">
        <v>79</v>
      </c>
      <c r="C17" s="7">
        <v>44862</v>
      </c>
      <c r="D17" s="7">
        <f>EDATE(C17,3)</f>
        <v>44954</v>
      </c>
      <c r="E17">
        <f>D17-C17</f>
        <v>92</v>
      </c>
      <c r="F17" s="8">
        <v>1.7430000000000001E-2</v>
      </c>
    </row>
    <row r="18" spans="2:6" x14ac:dyDescent="0.25">
      <c r="B18" s="9" t="str">
        <f>C9&amp;"天无风险利率"</f>
        <v>61天无风险利率</v>
      </c>
      <c r="E18">
        <v>61</v>
      </c>
      <c r="F18" s="19">
        <f>F16+(E18-E16)/(E17-E16)*(F17-F16)</f>
        <v>1.7084426229508197E-2</v>
      </c>
    </row>
    <row r="20" spans="2:6" x14ac:dyDescent="0.25">
      <c r="B20" s="9" t="s">
        <v>61</v>
      </c>
      <c r="C20" cm="1">
        <f t="array" ref="C20">BSCall(C6,C13,C9/365,F18,C12)</f>
        <v>2.0284123942212184E-3</v>
      </c>
    </row>
    <row r="21" spans="2:6" x14ac:dyDescent="0.25">
      <c r="C21" s="17"/>
    </row>
  </sheetData>
  <phoneticPr fontId="1" type="noConversion"/>
  <hyperlinks>
    <hyperlink ref="A1" location="目录!A1" display="Back" xr:uid="{62871D14-2F80-4185-91A2-66625BEA2B13}"/>
  </hyperlink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3739A-2BEE-4F36-B49B-4307B441A9AD}">
  <dimension ref="A1:G254"/>
  <sheetViews>
    <sheetView showGridLines="0" zoomScale="130" zoomScaleNormal="130" workbookViewId="0">
      <pane xSplit="1" ySplit="1" topLeftCell="B7" activePane="bottomRight" state="frozen"/>
      <selection pane="topRight" activeCell="B1" sqref="B1"/>
      <selection pane="bottomLeft" activeCell="A2" sqref="A2"/>
      <selection pane="bottomRight"/>
    </sheetView>
  </sheetViews>
  <sheetFormatPr defaultRowHeight="13.8" x14ac:dyDescent="0.25"/>
  <cols>
    <col min="1" max="1" width="17.88671875" bestFit="1" customWidth="1"/>
    <col min="2" max="2" width="21.88671875" bestFit="1" customWidth="1"/>
    <col min="3" max="4" width="20.44140625" bestFit="1" customWidth="1"/>
    <col min="5" max="5" width="21" bestFit="1" customWidth="1"/>
  </cols>
  <sheetData>
    <row r="1" spans="1:7" x14ac:dyDescent="0.25">
      <c r="A1" s="5" t="s">
        <v>3</v>
      </c>
    </row>
    <row r="2" spans="1:7" ht="20.399999999999999" x14ac:dyDescent="0.25">
      <c r="A2" s="5"/>
      <c r="B2" s="10" t="s">
        <v>67</v>
      </c>
      <c r="C2" s="9"/>
      <c r="D2" s="9"/>
      <c r="E2" s="9"/>
      <c r="F2" s="9"/>
    </row>
    <row r="4" spans="1:7" x14ac:dyDescent="0.25">
      <c r="B4" s="9" t="s">
        <v>44</v>
      </c>
      <c r="C4" s="16" t="s">
        <v>45</v>
      </c>
      <c r="G4" s="22"/>
    </row>
    <row r="5" spans="1:7" x14ac:dyDescent="0.25">
      <c r="B5" s="9" t="s">
        <v>46</v>
      </c>
      <c r="C5" t="s">
        <v>47</v>
      </c>
      <c r="G5" s="6"/>
    </row>
    <row r="6" spans="1:7" x14ac:dyDescent="0.25">
      <c r="B6" s="9" t="s">
        <v>48</v>
      </c>
      <c r="C6" s="17">
        <v>2.3650000000000002</v>
      </c>
    </row>
    <row r="7" spans="1:7" x14ac:dyDescent="0.25">
      <c r="B7" s="9" t="s">
        <v>49</v>
      </c>
      <c r="C7" s="7">
        <v>44923</v>
      </c>
      <c r="E7" t="s">
        <v>50</v>
      </c>
    </row>
    <row r="8" spans="1:7" x14ac:dyDescent="0.25">
      <c r="B8" s="9" t="s">
        <v>51</v>
      </c>
      <c r="C8" s="7">
        <v>44862</v>
      </c>
    </row>
    <row r="9" spans="1:7" x14ac:dyDescent="0.25">
      <c r="B9" s="9" t="s">
        <v>52</v>
      </c>
      <c r="C9">
        <f>C7-C8</f>
        <v>61</v>
      </c>
    </row>
    <row r="10" spans="1:7" ht="69" x14ac:dyDescent="0.25">
      <c r="B10" s="9" t="s">
        <v>53</v>
      </c>
      <c r="C10" s="13" t="s">
        <v>55</v>
      </c>
    </row>
    <row r="11" spans="1:7" ht="55.2" x14ac:dyDescent="0.25">
      <c r="B11" s="9" t="s">
        <v>11</v>
      </c>
      <c r="C11" s="13" t="s">
        <v>56</v>
      </c>
    </row>
    <row r="12" spans="1:7" x14ac:dyDescent="0.25">
      <c r="B12" s="9" t="s">
        <v>54</v>
      </c>
      <c r="C12">
        <v>0.30769999999999997</v>
      </c>
    </row>
    <row r="13" spans="1:7" x14ac:dyDescent="0.25">
      <c r="B13" s="9" t="s">
        <v>57</v>
      </c>
      <c r="C13" s="20">
        <v>3.1</v>
      </c>
    </row>
    <row r="15" spans="1:7" x14ac:dyDescent="0.25">
      <c r="C15" s="18" t="s">
        <v>12</v>
      </c>
      <c r="D15" s="18" t="s">
        <v>10</v>
      </c>
      <c r="E15" s="18" t="s">
        <v>13</v>
      </c>
      <c r="F15" s="18" t="s">
        <v>60</v>
      </c>
    </row>
    <row r="16" spans="1:7" x14ac:dyDescent="0.25">
      <c r="B16" s="9" t="s">
        <v>58</v>
      </c>
      <c r="C16" s="7">
        <v>44862</v>
      </c>
      <c r="D16" s="7">
        <f>EDATE(C16,1)</f>
        <v>44893</v>
      </c>
      <c r="E16">
        <f>D16-C16</f>
        <v>31</v>
      </c>
      <c r="F16" s="8">
        <v>1.6750000000000001E-2</v>
      </c>
    </row>
    <row r="17" spans="2:6" x14ac:dyDescent="0.25">
      <c r="B17" s="9" t="s">
        <v>59</v>
      </c>
      <c r="C17" s="7">
        <v>44862</v>
      </c>
      <c r="D17" s="7">
        <f>EDATE(C17,3)</f>
        <v>44954</v>
      </c>
      <c r="E17">
        <f>D17-C17</f>
        <v>92</v>
      </c>
      <c r="F17" s="8">
        <v>1.7430000000000001E-2</v>
      </c>
    </row>
    <row r="18" spans="2:6" x14ac:dyDescent="0.25">
      <c r="B18" s="9" t="str">
        <f>C9&amp;"天无风险利率"</f>
        <v>61天无风险利率</v>
      </c>
      <c r="E18">
        <f>C9</f>
        <v>61</v>
      </c>
      <c r="F18" s="19">
        <f>F16+(E18-E16)/(E17-E16)*(F17-F16)</f>
        <v>1.7084426229508197E-2</v>
      </c>
    </row>
    <row r="20" spans="2:6" x14ac:dyDescent="0.25">
      <c r="B20" s="9" t="s">
        <v>61</v>
      </c>
      <c r="C20" s="23" cm="1">
        <f t="array" ref="C20">BSCall(C6,C13,C9/365,F18,C12)</f>
        <v>2.0284123942212184E-3</v>
      </c>
    </row>
    <row r="21" spans="2:6" x14ac:dyDescent="0.25">
      <c r="D21" s="6"/>
    </row>
    <row r="22" spans="2:6" x14ac:dyDescent="0.25">
      <c r="B22" s="9" t="s">
        <v>68</v>
      </c>
      <c r="C22" s="23" cm="1">
        <f t="array" ref="C22">binomal_european_call(C6,C29,C30,C28,C13,C23)</f>
        <v>2.0052657759823331E-3</v>
      </c>
      <c r="D22" s="6"/>
    </row>
    <row r="23" spans="2:6" x14ac:dyDescent="0.25">
      <c r="B23" s="9" t="s">
        <v>69</v>
      </c>
      <c r="C23">
        <v>200</v>
      </c>
      <c r="D23" s="6"/>
    </row>
    <row r="24" spans="2:6" x14ac:dyDescent="0.25">
      <c r="B24" s="9" t="s">
        <v>71</v>
      </c>
      <c r="C24">
        <f>(61/365)/C23</f>
        <v>8.3561643835616437E-4</v>
      </c>
      <c r="D24" s="6" t="str">
        <f ca="1">IFERROR(_xlfn.FORMULATEXT(C24),"")</f>
        <v>=(61/365)/C23</v>
      </c>
    </row>
    <row r="25" spans="2:6" x14ac:dyDescent="0.25">
      <c r="B25" s="9" t="s">
        <v>4</v>
      </c>
      <c r="C25" s="22">
        <f>EXP(F18*C24)</f>
        <v>1.0000142761293003</v>
      </c>
      <c r="D25" s="6" t="str">
        <f t="shared" ref="D25:D30" ca="1" si="0">IFERROR(_xlfn.FORMULATEXT(C25),"")</f>
        <v>=EXP(F18*C24)</v>
      </c>
    </row>
    <row r="26" spans="2:6" x14ac:dyDescent="0.25">
      <c r="B26" s="9" t="s">
        <v>70</v>
      </c>
      <c r="C26">
        <f>EXP(C12*SQRT(C24))</f>
        <v>1.0089343687549857</v>
      </c>
      <c r="D26" s="6" t="str">
        <f t="shared" ca="1" si="0"/>
        <v>=EXP(C12*SQRT(C24))</v>
      </c>
    </row>
    <row r="27" spans="2:6" x14ac:dyDescent="0.25">
      <c r="B27" s="9" t="s">
        <v>72</v>
      </c>
      <c r="C27">
        <f>EXP(-C12*SQRT(C24))</f>
        <v>0.99114474733771774</v>
      </c>
      <c r="D27" s="6" t="str">
        <f t="shared" ca="1" si="0"/>
        <v>=EXP(-C12*SQRT(C24))</v>
      </c>
    </row>
    <row r="28" spans="2:6" x14ac:dyDescent="0.25">
      <c r="B28" s="9" t="s">
        <v>73</v>
      </c>
      <c r="C28" s="22">
        <f>C25-1</f>
        <v>1.4276129300272444E-5</v>
      </c>
      <c r="D28" s="6" t="str">
        <f t="shared" ca="1" si="0"/>
        <v>=C25-1</v>
      </c>
    </row>
    <row r="29" spans="2:6" x14ac:dyDescent="0.25">
      <c r="B29" s="9" t="s">
        <v>74</v>
      </c>
      <c r="C29">
        <f>C26-1</f>
        <v>8.9343687549856554E-3</v>
      </c>
      <c r="D29" s="6" t="str">
        <f t="shared" ca="1" si="0"/>
        <v>=C26-1</v>
      </c>
    </row>
    <row r="30" spans="2:6" x14ac:dyDescent="0.25">
      <c r="B30" s="9" t="s">
        <v>75</v>
      </c>
      <c r="C30">
        <f>C27-1</f>
        <v>-8.8552526622822647E-3</v>
      </c>
      <c r="D30" s="6" t="str">
        <f t="shared" ca="1" si="0"/>
        <v>=C27-1</v>
      </c>
    </row>
    <row r="31" spans="2:6" x14ac:dyDescent="0.25">
      <c r="D31" s="6"/>
    </row>
    <row r="32" spans="2:6" x14ac:dyDescent="0.25">
      <c r="B32" s="21"/>
      <c r="D32" s="6"/>
    </row>
    <row r="33" spans="2:4" x14ac:dyDescent="0.25">
      <c r="B33" s="21"/>
      <c r="D33" s="6"/>
    </row>
    <row r="34" spans="2:4" x14ac:dyDescent="0.25">
      <c r="B34" s="18" t="s">
        <v>69</v>
      </c>
      <c r="C34" s="18" t="s">
        <v>76</v>
      </c>
      <c r="D34" s="18" t="s">
        <v>77</v>
      </c>
    </row>
    <row r="35" spans="2:4" x14ac:dyDescent="0.25">
      <c r="C35">
        <f>C22</f>
        <v>2.0052657759823331E-3</v>
      </c>
      <c r="D35">
        <f>C20</f>
        <v>2.0284123942212184E-3</v>
      </c>
    </row>
    <row r="36" spans="2:4" x14ac:dyDescent="0.25">
      <c r="B36" s="24">
        <v>5</v>
      </c>
      <c r="C36">
        <f t="dataTable" ref="C36:D75" dt2D="0" dtr="0" r1="C23"/>
        <v>9.4469063840273051E-4</v>
      </c>
      <c r="D36">
        <v>2.0284123942212184E-3</v>
      </c>
    </row>
    <row r="37" spans="2:4" x14ac:dyDescent="0.25">
      <c r="B37" s="24">
        <f>B36+5</f>
        <v>10</v>
      </c>
      <c r="C37">
        <v>1.6885395543256548E-3</v>
      </c>
      <c r="D37">
        <v>2.0284123942212184E-3</v>
      </c>
    </row>
    <row r="38" spans="2:4" x14ac:dyDescent="0.25">
      <c r="B38" s="24">
        <f t="shared" ref="B38:B75" si="1">B37+5</f>
        <v>15</v>
      </c>
      <c r="C38">
        <v>1.8772165677004311E-3</v>
      </c>
      <c r="D38">
        <v>2.0284123942212184E-3</v>
      </c>
    </row>
    <row r="39" spans="2:4" x14ac:dyDescent="0.25">
      <c r="B39" s="24">
        <f t="shared" si="1"/>
        <v>20</v>
      </c>
      <c r="C39">
        <v>1.8309893247202454E-3</v>
      </c>
      <c r="D39">
        <v>2.0284123942212184E-3</v>
      </c>
    </row>
    <row r="40" spans="2:4" x14ac:dyDescent="0.25">
      <c r="B40" s="24">
        <f t="shared" si="1"/>
        <v>25</v>
      </c>
      <c r="C40">
        <v>1.8113822322615382E-3</v>
      </c>
      <c r="D40">
        <v>2.0284123942212184E-3</v>
      </c>
    </row>
    <row r="41" spans="2:4" x14ac:dyDescent="0.25">
      <c r="B41" s="24">
        <f t="shared" si="1"/>
        <v>30</v>
      </c>
      <c r="C41">
        <v>1.8349683309417525E-3</v>
      </c>
      <c r="D41">
        <v>2.0284123942212184E-3</v>
      </c>
    </row>
    <row r="42" spans="2:4" x14ac:dyDescent="0.25">
      <c r="B42" s="24">
        <f t="shared" si="1"/>
        <v>35</v>
      </c>
      <c r="C42">
        <v>1.8801295294655551E-3</v>
      </c>
      <c r="D42">
        <v>2.0284123942212184E-3</v>
      </c>
    </row>
    <row r="43" spans="2:4" x14ac:dyDescent="0.25">
      <c r="B43" s="24">
        <f t="shared" si="1"/>
        <v>40</v>
      </c>
      <c r="C43">
        <v>1.927323135054554E-3</v>
      </c>
      <c r="D43">
        <v>2.0284123942212184E-3</v>
      </c>
    </row>
    <row r="44" spans="2:4" x14ac:dyDescent="0.25">
      <c r="B44" s="24">
        <f t="shared" si="1"/>
        <v>45</v>
      </c>
      <c r="C44">
        <v>1.9644688640610957E-3</v>
      </c>
      <c r="D44">
        <v>2.0284123942212184E-3</v>
      </c>
    </row>
    <row r="45" spans="2:4" x14ac:dyDescent="0.25">
      <c r="B45" s="24">
        <f t="shared" si="1"/>
        <v>50</v>
      </c>
      <c r="C45">
        <v>1.9855684017516936E-3</v>
      </c>
      <c r="D45">
        <v>2.0284123942212184E-3</v>
      </c>
    </row>
    <row r="46" spans="2:4" x14ac:dyDescent="0.25">
      <c r="B46" s="24">
        <f t="shared" si="1"/>
        <v>55</v>
      </c>
      <c r="C46">
        <v>1.9886207446999219E-3</v>
      </c>
      <c r="D46">
        <v>2.0284123942212184E-3</v>
      </c>
    </row>
    <row r="47" spans="2:4" x14ac:dyDescent="0.25">
      <c r="B47" s="24">
        <f t="shared" si="1"/>
        <v>60</v>
      </c>
      <c r="C47">
        <v>1.9739988909857615E-3</v>
      </c>
      <c r="D47">
        <v>2.0284123942212184E-3</v>
      </c>
    </row>
    <row r="48" spans="2:4" x14ac:dyDescent="0.25">
      <c r="B48" s="24">
        <f t="shared" si="1"/>
        <v>65</v>
      </c>
      <c r="C48">
        <v>1.9433607929996149E-3</v>
      </c>
      <c r="D48">
        <v>2.0284123942212184E-3</v>
      </c>
    </row>
    <row r="49" spans="2:4" x14ac:dyDescent="0.25">
      <c r="B49" s="24">
        <f t="shared" si="1"/>
        <v>70</v>
      </c>
      <c r="C49">
        <v>1.8990143403339488E-3</v>
      </c>
      <c r="D49">
        <v>2.0284123942212184E-3</v>
      </c>
    </row>
    <row r="50" spans="2:4" x14ac:dyDescent="0.25">
      <c r="B50" s="24">
        <f t="shared" si="1"/>
        <v>75</v>
      </c>
      <c r="C50">
        <v>1.9696019788275551E-3</v>
      </c>
      <c r="D50">
        <v>2.0284123942212184E-3</v>
      </c>
    </row>
    <row r="51" spans="2:4" x14ac:dyDescent="0.25">
      <c r="B51" s="24">
        <f t="shared" si="1"/>
        <v>80</v>
      </c>
      <c r="C51">
        <v>2.0004506203263484E-3</v>
      </c>
      <c r="D51">
        <v>2.0284123942212184E-3</v>
      </c>
    </row>
    <row r="52" spans="2:4" x14ac:dyDescent="0.25">
      <c r="B52" s="24">
        <f t="shared" si="1"/>
        <v>85</v>
      </c>
      <c r="C52">
        <v>1.9996337987102635E-3</v>
      </c>
      <c r="D52">
        <v>2.0284123942212184E-3</v>
      </c>
    </row>
    <row r="53" spans="2:4" x14ac:dyDescent="0.25">
      <c r="B53" s="24">
        <f t="shared" si="1"/>
        <v>90</v>
      </c>
      <c r="C53">
        <v>1.9739613822476318E-3</v>
      </c>
      <c r="D53">
        <v>2.0284123942212184E-3</v>
      </c>
    </row>
    <row r="54" spans="2:4" x14ac:dyDescent="0.25">
      <c r="B54" s="24">
        <f t="shared" si="1"/>
        <v>95</v>
      </c>
      <c r="C54">
        <v>1.9381949912310693E-3</v>
      </c>
      <c r="D54">
        <v>2.0284123942212184E-3</v>
      </c>
    </row>
    <row r="55" spans="2:4" x14ac:dyDescent="0.25">
      <c r="B55" s="24">
        <f t="shared" si="1"/>
        <v>100</v>
      </c>
      <c r="C55">
        <v>1.9931294732892959E-3</v>
      </c>
      <c r="D55">
        <v>2.0284123942212184E-3</v>
      </c>
    </row>
    <row r="56" spans="2:4" x14ac:dyDescent="0.25">
      <c r="B56" s="24">
        <f t="shared" si="1"/>
        <v>105</v>
      </c>
      <c r="C56">
        <v>2.0089584008689313E-3</v>
      </c>
      <c r="D56">
        <v>2.0284123942212184E-3</v>
      </c>
    </row>
    <row r="57" spans="2:4" x14ac:dyDescent="0.25">
      <c r="B57" s="24">
        <f t="shared" si="1"/>
        <v>110</v>
      </c>
      <c r="C57">
        <v>1.9945310113946885E-3</v>
      </c>
      <c r="D57">
        <v>2.0284123942212184E-3</v>
      </c>
    </row>
    <row r="58" spans="2:4" x14ac:dyDescent="0.25">
      <c r="B58" s="24">
        <f t="shared" si="1"/>
        <v>115</v>
      </c>
      <c r="C58">
        <v>1.9570154812185068E-3</v>
      </c>
      <c r="D58">
        <v>2.0284123942212184E-3</v>
      </c>
    </row>
    <row r="59" spans="2:4" x14ac:dyDescent="0.25">
      <c r="B59" s="24">
        <f t="shared" si="1"/>
        <v>120</v>
      </c>
      <c r="C59">
        <v>1.9954622668467647E-3</v>
      </c>
      <c r="D59">
        <v>2.0284123942212184E-3</v>
      </c>
    </row>
    <row r="60" spans="2:4" x14ac:dyDescent="0.25">
      <c r="B60" s="24">
        <f t="shared" si="1"/>
        <v>125</v>
      </c>
      <c r="C60">
        <v>2.0121122494044762E-3</v>
      </c>
      <c r="D60">
        <v>2.0284123942212184E-3</v>
      </c>
    </row>
    <row r="61" spans="2:4" x14ac:dyDescent="0.25">
      <c r="B61" s="24">
        <f t="shared" si="1"/>
        <v>130</v>
      </c>
      <c r="C61">
        <v>1.9982286773603621E-3</v>
      </c>
      <c r="D61">
        <v>2.0284123942212184E-3</v>
      </c>
    </row>
    <row r="62" spans="2:4" x14ac:dyDescent="0.25">
      <c r="B62" s="24">
        <f t="shared" si="1"/>
        <v>135</v>
      </c>
      <c r="C62">
        <v>1.9616815495976871E-3</v>
      </c>
      <c r="D62">
        <v>2.0284123942212184E-3</v>
      </c>
    </row>
    <row r="63" spans="2:4" x14ac:dyDescent="0.25">
      <c r="B63" s="24">
        <f t="shared" si="1"/>
        <v>140</v>
      </c>
      <c r="C63">
        <v>2.0055478778741665E-3</v>
      </c>
      <c r="D63">
        <v>2.0284123942212184E-3</v>
      </c>
    </row>
    <row r="64" spans="2:4" x14ac:dyDescent="0.25">
      <c r="B64" s="24">
        <f t="shared" si="1"/>
        <v>145</v>
      </c>
      <c r="C64">
        <v>2.0132505864311305E-3</v>
      </c>
      <c r="D64">
        <v>2.0284123942212184E-3</v>
      </c>
    </row>
    <row r="65" spans="2:4" x14ac:dyDescent="0.25">
      <c r="B65" s="24">
        <f t="shared" si="1"/>
        <v>150</v>
      </c>
      <c r="C65">
        <v>1.9929480069313106E-3</v>
      </c>
      <c r="D65">
        <v>2.0284123942212184E-3</v>
      </c>
    </row>
    <row r="66" spans="2:4" x14ac:dyDescent="0.25">
      <c r="B66" s="24">
        <f t="shared" si="1"/>
        <v>155</v>
      </c>
      <c r="C66">
        <v>1.9889616787848834E-3</v>
      </c>
      <c r="D66">
        <v>2.0284123942212184E-3</v>
      </c>
    </row>
    <row r="67" spans="2:4" x14ac:dyDescent="0.25">
      <c r="B67" s="24">
        <f t="shared" si="1"/>
        <v>160</v>
      </c>
      <c r="C67">
        <v>2.0145827350435542E-3</v>
      </c>
      <c r="D67">
        <v>2.0284123942212184E-3</v>
      </c>
    </row>
    <row r="68" spans="2:4" x14ac:dyDescent="0.25">
      <c r="B68" s="24">
        <f t="shared" si="1"/>
        <v>165</v>
      </c>
      <c r="C68">
        <v>2.0088391163282588E-3</v>
      </c>
      <c r="D68">
        <v>2.0284123942212184E-3</v>
      </c>
    </row>
    <row r="69" spans="2:4" x14ac:dyDescent="0.25">
      <c r="B69" s="24">
        <f t="shared" si="1"/>
        <v>170</v>
      </c>
      <c r="C69">
        <v>1.9788143127485555E-3</v>
      </c>
      <c r="D69">
        <v>2.0284123942212184E-3</v>
      </c>
    </row>
    <row r="70" spans="2:4" x14ac:dyDescent="0.25">
      <c r="B70" s="24">
        <f t="shared" si="1"/>
        <v>175</v>
      </c>
      <c r="C70">
        <v>2.0097965771418433E-3</v>
      </c>
      <c r="D70">
        <v>2.0284123942212184E-3</v>
      </c>
    </row>
    <row r="71" spans="2:4" x14ac:dyDescent="0.25">
      <c r="B71" s="24">
        <f t="shared" si="1"/>
        <v>180</v>
      </c>
      <c r="C71">
        <v>2.0157341072735229E-3</v>
      </c>
      <c r="D71">
        <v>2.0284123942212184E-3</v>
      </c>
    </row>
    <row r="72" spans="2:4" x14ac:dyDescent="0.25">
      <c r="B72" s="24">
        <f t="shared" si="1"/>
        <v>185</v>
      </c>
      <c r="C72">
        <v>1.9954173423778259E-3</v>
      </c>
      <c r="D72">
        <v>2.0284123942212184E-3</v>
      </c>
    </row>
    <row r="73" spans="2:4" x14ac:dyDescent="0.25">
      <c r="B73" s="24">
        <f t="shared" si="1"/>
        <v>190</v>
      </c>
      <c r="C73">
        <v>2.0032694753458697E-3</v>
      </c>
      <c r="D73">
        <v>2.0284123942212184E-3</v>
      </c>
    </row>
    <row r="74" spans="2:4" x14ac:dyDescent="0.25">
      <c r="B74" s="24">
        <f t="shared" si="1"/>
        <v>195</v>
      </c>
      <c r="C74">
        <v>2.0179816940526468E-3</v>
      </c>
      <c r="D74">
        <v>2.0284123942212184E-3</v>
      </c>
    </row>
    <row r="75" spans="2:4" x14ac:dyDescent="0.25">
      <c r="B75" s="24">
        <f t="shared" si="1"/>
        <v>200</v>
      </c>
      <c r="C75">
        <v>2.0052657759823331E-3</v>
      </c>
      <c r="D75">
        <v>2.0284123942212184E-3</v>
      </c>
    </row>
    <row r="76" spans="2:4" x14ac:dyDescent="0.25">
      <c r="B76" s="21"/>
      <c r="D76" s="6"/>
    </row>
    <row r="77" spans="2:4" x14ac:dyDescent="0.25">
      <c r="B77" s="21"/>
      <c r="D77" s="6"/>
    </row>
    <row r="78" spans="2:4" x14ac:dyDescent="0.25">
      <c r="B78" s="21"/>
      <c r="D78" s="6"/>
    </row>
    <row r="79" spans="2:4" x14ac:dyDescent="0.25">
      <c r="B79" s="21"/>
      <c r="D79" s="6"/>
    </row>
    <row r="80" spans="2:4" x14ac:dyDescent="0.25">
      <c r="B80" s="21"/>
      <c r="D80" s="6"/>
    </row>
    <row r="81" spans="2:4" x14ac:dyDescent="0.25">
      <c r="B81" s="21"/>
      <c r="D81" s="6"/>
    </row>
    <row r="82" spans="2:4" x14ac:dyDescent="0.25">
      <c r="B82" s="21"/>
      <c r="D82" s="6"/>
    </row>
    <row r="83" spans="2:4" x14ac:dyDescent="0.25">
      <c r="B83" s="21"/>
      <c r="D83" s="6"/>
    </row>
    <row r="84" spans="2:4" x14ac:dyDescent="0.25">
      <c r="B84" s="21"/>
      <c r="D84" s="6"/>
    </row>
    <row r="85" spans="2:4" x14ac:dyDescent="0.25">
      <c r="B85" s="21"/>
      <c r="D85" s="6"/>
    </row>
    <row r="86" spans="2:4" x14ac:dyDescent="0.25">
      <c r="B86" s="21"/>
      <c r="D86" s="6"/>
    </row>
    <row r="87" spans="2:4" x14ac:dyDescent="0.25">
      <c r="B87" s="21"/>
      <c r="D87" s="6"/>
    </row>
    <row r="88" spans="2:4" x14ac:dyDescent="0.25">
      <c r="B88" s="21"/>
      <c r="D88" s="6"/>
    </row>
    <row r="89" spans="2:4" x14ac:dyDescent="0.25">
      <c r="B89" s="21"/>
      <c r="D89" s="6"/>
    </row>
    <row r="90" spans="2:4" x14ac:dyDescent="0.25">
      <c r="B90" s="21"/>
      <c r="D90" s="6"/>
    </row>
    <row r="91" spans="2:4" x14ac:dyDescent="0.25">
      <c r="B91" s="21"/>
      <c r="D91" s="6"/>
    </row>
    <row r="92" spans="2:4" x14ac:dyDescent="0.25">
      <c r="B92" s="21"/>
      <c r="D92" s="6"/>
    </row>
    <row r="93" spans="2:4" x14ac:dyDescent="0.25">
      <c r="B93" s="21"/>
      <c r="D93" s="6"/>
    </row>
    <row r="94" spans="2:4" x14ac:dyDescent="0.25">
      <c r="B94" s="21"/>
      <c r="D94" s="6"/>
    </row>
    <row r="95" spans="2:4" x14ac:dyDescent="0.25">
      <c r="B95" s="21"/>
      <c r="D95" s="6"/>
    </row>
    <row r="96" spans="2:4" x14ac:dyDescent="0.25">
      <c r="B96" s="21"/>
      <c r="D96" s="6"/>
    </row>
    <row r="97" spans="2:4" x14ac:dyDescent="0.25">
      <c r="B97" s="21"/>
      <c r="D97" s="6"/>
    </row>
    <row r="98" spans="2:4" x14ac:dyDescent="0.25">
      <c r="B98" s="21"/>
      <c r="D98" s="6"/>
    </row>
    <row r="99" spans="2:4" x14ac:dyDescent="0.25">
      <c r="B99" s="21"/>
      <c r="D99" s="6"/>
    </row>
    <row r="100" spans="2:4" x14ac:dyDescent="0.25">
      <c r="B100" s="21"/>
      <c r="D100" s="6"/>
    </row>
    <row r="101" spans="2:4" x14ac:dyDescent="0.25">
      <c r="B101" s="21"/>
      <c r="D101" s="6"/>
    </row>
    <row r="102" spans="2:4" x14ac:dyDescent="0.25">
      <c r="B102" s="21"/>
      <c r="D102" s="6"/>
    </row>
    <row r="103" spans="2:4" x14ac:dyDescent="0.25">
      <c r="B103" s="21"/>
      <c r="D103" s="6"/>
    </row>
    <row r="104" spans="2:4" x14ac:dyDescent="0.25">
      <c r="B104" s="21"/>
      <c r="D104" s="6"/>
    </row>
    <row r="105" spans="2:4" x14ac:dyDescent="0.25">
      <c r="B105" s="21"/>
      <c r="D105" s="6"/>
    </row>
    <row r="106" spans="2:4" x14ac:dyDescent="0.25">
      <c r="B106" s="21"/>
      <c r="D106" s="6"/>
    </row>
    <row r="107" spans="2:4" x14ac:dyDescent="0.25">
      <c r="B107" s="21"/>
      <c r="D107" s="6"/>
    </row>
    <row r="108" spans="2:4" x14ac:dyDescent="0.25">
      <c r="B108" s="21"/>
      <c r="D108" s="6"/>
    </row>
    <row r="109" spans="2:4" x14ac:dyDescent="0.25">
      <c r="B109" s="21"/>
      <c r="D109" s="6"/>
    </row>
    <row r="110" spans="2:4" x14ac:dyDescent="0.25">
      <c r="B110" s="21"/>
      <c r="D110" s="6"/>
    </row>
    <row r="111" spans="2:4" x14ac:dyDescent="0.25">
      <c r="B111" s="21"/>
      <c r="D111" s="6"/>
    </row>
    <row r="112" spans="2:4" x14ac:dyDescent="0.25">
      <c r="B112" s="21"/>
      <c r="D112" s="6"/>
    </row>
    <row r="113" spans="2:4" x14ac:dyDescent="0.25">
      <c r="B113" s="21"/>
      <c r="D113" s="6"/>
    </row>
    <row r="114" spans="2:4" x14ac:dyDescent="0.25">
      <c r="B114" s="21"/>
      <c r="D114" s="6"/>
    </row>
    <row r="115" spans="2:4" x14ac:dyDescent="0.25">
      <c r="B115" s="21"/>
      <c r="D115" s="6"/>
    </row>
    <row r="116" spans="2:4" x14ac:dyDescent="0.25">
      <c r="B116" s="21"/>
      <c r="D116" s="6"/>
    </row>
    <row r="117" spans="2:4" x14ac:dyDescent="0.25">
      <c r="B117" s="21"/>
      <c r="D117" s="6"/>
    </row>
    <row r="118" spans="2:4" x14ac:dyDescent="0.25">
      <c r="B118" s="21"/>
      <c r="D118" s="6"/>
    </row>
    <row r="119" spans="2:4" x14ac:dyDescent="0.25">
      <c r="B119" s="21"/>
      <c r="D119" s="6"/>
    </row>
    <row r="120" spans="2:4" x14ac:dyDescent="0.25">
      <c r="B120" s="21"/>
      <c r="D120" s="6"/>
    </row>
    <row r="121" spans="2:4" x14ac:dyDescent="0.25">
      <c r="B121" s="21"/>
      <c r="D121" s="6"/>
    </row>
    <row r="122" spans="2:4" x14ac:dyDescent="0.25">
      <c r="B122" s="21"/>
      <c r="D122" s="6"/>
    </row>
    <row r="123" spans="2:4" x14ac:dyDescent="0.25">
      <c r="B123" s="21"/>
      <c r="D123" s="6"/>
    </row>
    <row r="124" spans="2:4" x14ac:dyDescent="0.25">
      <c r="B124" s="21"/>
      <c r="D124" s="6"/>
    </row>
    <row r="125" spans="2:4" x14ac:dyDescent="0.25">
      <c r="B125" s="21"/>
      <c r="D125" s="6"/>
    </row>
    <row r="126" spans="2:4" x14ac:dyDescent="0.25">
      <c r="B126" s="21"/>
      <c r="D126" s="6"/>
    </row>
    <row r="127" spans="2:4" x14ac:dyDescent="0.25">
      <c r="B127" s="21"/>
      <c r="D127" s="6"/>
    </row>
    <row r="128" spans="2:4" x14ac:dyDescent="0.25">
      <c r="B128" s="21"/>
      <c r="D128" s="6"/>
    </row>
    <row r="129" spans="2:4" x14ac:dyDescent="0.25">
      <c r="B129" s="21"/>
      <c r="D129" s="6"/>
    </row>
    <row r="130" spans="2:4" x14ac:dyDescent="0.25">
      <c r="B130" s="21"/>
      <c r="D130" s="6"/>
    </row>
    <row r="131" spans="2:4" x14ac:dyDescent="0.25">
      <c r="B131" s="21"/>
      <c r="D131" s="6"/>
    </row>
    <row r="132" spans="2:4" x14ac:dyDescent="0.25">
      <c r="B132" s="21"/>
      <c r="D132" s="6"/>
    </row>
    <row r="133" spans="2:4" x14ac:dyDescent="0.25">
      <c r="B133" s="21"/>
      <c r="D133" s="6"/>
    </row>
    <row r="134" spans="2:4" x14ac:dyDescent="0.25">
      <c r="B134" s="21"/>
      <c r="D134" s="6"/>
    </row>
    <row r="135" spans="2:4" x14ac:dyDescent="0.25">
      <c r="B135" s="21"/>
      <c r="D135" s="6"/>
    </row>
    <row r="136" spans="2:4" x14ac:dyDescent="0.25">
      <c r="B136" s="21"/>
      <c r="D136" s="6"/>
    </row>
    <row r="137" spans="2:4" x14ac:dyDescent="0.25">
      <c r="B137" s="21"/>
      <c r="D137" s="6"/>
    </row>
    <row r="138" spans="2:4" x14ac:dyDescent="0.25">
      <c r="B138" s="21"/>
      <c r="D138" s="6"/>
    </row>
    <row r="139" spans="2:4" x14ac:dyDescent="0.25">
      <c r="B139" s="21"/>
      <c r="D139" s="6"/>
    </row>
    <row r="140" spans="2:4" x14ac:dyDescent="0.25">
      <c r="B140" s="21"/>
      <c r="D140" s="6"/>
    </row>
    <row r="141" spans="2:4" x14ac:dyDescent="0.25">
      <c r="B141" s="21"/>
      <c r="D141" s="6"/>
    </row>
    <row r="142" spans="2:4" x14ac:dyDescent="0.25">
      <c r="B142" s="21"/>
      <c r="D142" s="6"/>
    </row>
    <row r="143" spans="2:4" x14ac:dyDescent="0.25">
      <c r="B143" s="21"/>
      <c r="D143" s="6"/>
    </row>
    <row r="144" spans="2:4" x14ac:dyDescent="0.25">
      <c r="B144" s="21"/>
      <c r="D144" s="6"/>
    </row>
    <row r="145" spans="2:4" x14ac:dyDescent="0.25">
      <c r="B145" s="21"/>
      <c r="D145" s="6"/>
    </row>
    <row r="146" spans="2:4" x14ac:dyDescent="0.25">
      <c r="B146" s="21"/>
      <c r="D146" s="6"/>
    </row>
    <row r="147" spans="2:4" x14ac:dyDescent="0.25">
      <c r="B147" s="21"/>
      <c r="D147" s="6"/>
    </row>
    <row r="148" spans="2:4" x14ac:dyDescent="0.25">
      <c r="B148" s="21"/>
      <c r="D148" s="6"/>
    </row>
    <row r="149" spans="2:4" x14ac:dyDescent="0.25">
      <c r="B149" s="21"/>
      <c r="D149" s="6"/>
    </row>
    <row r="150" spans="2:4" x14ac:dyDescent="0.25">
      <c r="B150" s="21"/>
      <c r="D150" s="6"/>
    </row>
    <row r="151" spans="2:4" x14ac:dyDescent="0.25">
      <c r="B151" s="21"/>
      <c r="D151" s="6"/>
    </row>
    <row r="152" spans="2:4" x14ac:dyDescent="0.25">
      <c r="B152" s="21"/>
      <c r="D152" s="6"/>
    </row>
    <row r="153" spans="2:4" x14ac:dyDescent="0.25">
      <c r="B153" s="21"/>
      <c r="D153" s="6"/>
    </row>
    <row r="154" spans="2:4" x14ac:dyDescent="0.25">
      <c r="B154" s="21"/>
      <c r="D154" s="6"/>
    </row>
    <row r="155" spans="2:4" x14ac:dyDescent="0.25">
      <c r="B155" s="21"/>
      <c r="D155" s="6"/>
    </row>
    <row r="156" spans="2:4" x14ac:dyDescent="0.25">
      <c r="B156" s="21"/>
      <c r="D156" s="6"/>
    </row>
    <row r="157" spans="2:4" x14ac:dyDescent="0.25">
      <c r="B157" s="21"/>
      <c r="D157" s="6"/>
    </row>
    <row r="158" spans="2:4" x14ac:dyDescent="0.25">
      <c r="B158" s="21"/>
      <c r="D158" s="6"/>
    </row>
    <row r="159" spans="2:4" x14ac:dyDescent="0.25">
      <c r="B159" s="21"/>
      <c r="D159" s="6"/>
    </row>
    <row r="160" spans="2:4" x14ac:dyDescent="0.25">
      <c r="B160" s="21"/>
      <c r="D160" s="6"/>
    </row>
    <row r="161" spans="2:4" x14ac:dyDescent="0.25">
      <c r="B161" s="21"/>
      <c r="D161" s="6"/>
    </row>
    <row r="162" spans="2:4" x14ac:dyDescent="0.25">
      <c r="B162" s="21"/>
      <c r="D162" s="6"/>
    </row>
    <row r="163" spans="2:4" x14ac:dyDescent="0.25">
      <c r="B163" s="21"/>
      <c r="D163" s="6"/>
    </row>
    <row r="164" spans="2:4" x14ac:dyDescent="0.25">
      <c r="B164" s="21"/>
      <c r="D164" s="6"/>
    </row>
    <row r="165" spans="2:4" x14ac:dyDescent="0.25">
      <c r="B165" s="21"/>
      <c r="D165" s="6"/>
    </row>
    <row r="166" spans="2:4" x14ac:dyDescent="0.25">
      <c r="B166" s="21"/>
      <c r="D166" s="6"/>
    </row>
    <row r="167" spans="2:4" x14ac:dyDescent="0.25">
      <c r="B167" s="21"/>
      <c r="D167" s="6"/>
    </row>
    <row r="168" spans="2:4" x14ac:dyDescent="0.25">
      <c r="B168" s="21"/>
      <c r="D168" s="6"/>
    </row>
    <row r="169" spans="2:4" x14ac:dyDescent="0.25">
      <c r="B169" s="21"/>
      <c r="D169" s="6"/>
    </row>
    <row r="170" spans="2:4" x14ac:dyDescent="0.25">
      <c r="B170" s="21"/>
      <c r="D170" s="6"/>
    </row>
    <row r="171" spans="2:4" x14ac:dyDescent="0.25">
      <c r="B171" s="21"/>
      <c r="D171" s="6"/>
    </row>
    <row r="172" spans="2:4" x14ac:dyDescent="0.25">
      <c r="B172" s="21"/>
      <c r="D172" s="6"/>
    </row>
    <row r="173" spans="2:4" x14ac:dyDescent="0.25">
      <c r="B173" s="21"/>
      <c r="D173" s="6"/>
    </row>
    <row r="174" spans="2:4" x14ac:dyDescent="0.25">
      <c r="B174" s="21"/>
      <c r="D174" s="6"/>
    </row>
    <row r="175" spans="2:4" x14ac:dyDescent="0.25">
      <c r="B175" s="21"/>
      <c r="D175" s="6"/>
    </row>
    <row r="176" spans="2:4" x14ac:dyDescent="0.25">
      <c r="B176" s="21"/>
      <c r="D176" s="6"/>
    </row>
    <row r="177" spans="2:4" x14ac:dyDescent="0.25">
      <c r="B177" s="21"/>
      <c r="D177" s="6"/>
    </row>
    <row r="178" spans="2:4" x14ac:dyDescent="0.25">
      <c r="B178" s="21"/>
      <c r="D178" s="6"/>
    </row>
    <row r="179" spans="2:4" x14ac:dyDescent="0.25">
      <c r="B179" s="21"/>
      <c r="D179" s="6"/>
    </row>
    <row r="180" spans="2:4" x14ac:dyDescent="0.25">
      <c r="B180" s="21"/>
      <c r="D180" s="6"/>
    </row>
    <row r="181" spans="2:4" x14ac:dyDescent="0.25">
      <c r="B181" s="21"/>
      <c r="D181" s="6"/>
    </row>
    <row r="182" spans="2:4" x14ac:dyDescent="0.25">
      <c r="B182" s="21"/>
      <c r="D182" s="6"/>
    </row>
    <row r="183" spans="2:4" x14ac:dyDescent="0.25">
      <c r="B183" s="21"/>
      <c r="D183" s="6"/>
    </row>
    <row r="184" spans="2:4" x14ac:dyDescent="0.25">
      <c r="B184" s="21"/>
      <c r="D184" s="6"/>
    </row>
    <row r="185" spans="2:4" x14ac:dyDescent="0.25">
      <c r="B185" s="21"/>
      <c r="D185" s="6"/>
    </row>
    <row r="186" spans="2:4" x14ac:dyDescent="0.25">
      <c r="B186" s="21"/>
      <c r="D186" s="6"/>
    </row>
    <row r="187" spans="2:4" x14ac:dyDescent="0.25">
      <c r="B187" s="21"/>
      <c r="D187" s="6"/>
    </row>
    <row r="188" spans="2:4" x14ac:dyDescent="0.25">
      <c r="B188" s="21"/>
      <c r="D188" s="6"/>
    </row>
    <row r="189" spans="2:4" x14ac:dyDescent="0.25">
      <c r="B189" s="21"/>
      <c r="D189" s="6"/>
    </row>
    <row r="190" spans="2:4" x14ac:dyDescent="0.25">
      <c r="B190" s="21"/>
      <c r="D190" s="6"/>
    </row>
    <row r="191" spans="2:4" x14ac:dyDescent="0.25">
      <c r="B191" s="21"/>
      <c r="D191" s="6"/>
    </row>
    <row r="192" spans="2:4" x14ac:dyDescent="0.25">
      <c r="B192" s="21"/>
      <c r="D192" s="6"/>
    </row>
    <row r="193" spans="2:4" x14ac:dyDescent="0.25">
      <c r="B193" s="21"/>
      <c r="D193" s="6"/>
    </row>
    <row r="194" spans="2:4" x14ac:dyDescent="0.25">
      <c r="B194" s="21"/>
      <c r="D194" s="6"/>
    </row>
    <row r="195" spans="2:4" x14ac:dyDescent="0.25">
      <c r="B195" s="21"/>
      <c r="D195" s="6"/>
    </row>
    <row r="196" spans="2:4" x14ac:dyDescent="0.25">
      <c r="B196" s="21"/>
      <c r="D196" s="6"/>
    </row>
    <row r="197" spans="2:4" x14ac:dyDescent="0.25">
      <c r="B197" s="21"/>
      <c r="D197" s="6"/>
    </row>
    <row r="198" spans="2:4" x14ac:dyDescent="0.25">
      <c r="B198" s="21"/>
      <c r="D198" s="6"/>
    </row>
    <row r="199" spans="2:4" x14ac:dyDescent="0.25">
      <c r="B199" s="21"/>
      <c r="D199" s="6"/>
    </row>
    <row r="200" spans="2:4" x14ac:dyDescent="0.25">
      <c r="B200" s="21"/>
      <c r="D200" s="6"/>
    </row>
    <row r="201" spans="2:4" x14ac:dyDescent="0.25">
      <c r="B201" s="21"/>
      <c r="D201" s="6"/>
    </row>
    <row r="202" spans="2:4" x14ac:dyDescent="0.25">
      <c r="B202" s="21"/>
      <c r="D202" s="6"/>
    </row>
    <row r="203" spans="2:4" x14ac:dyDescent="0.25">
      <c r="B203" s="21"/>
      <c r="D203" s="6"/>
    </row>
    <row r="204" spans="2:4" x14ac:dyDescent="0.25">
      <c r="B204" s="21"/>
      <c r="D204" s="6"/>
    </row>
    <row r="205" spans="2:4" x14ac:dyDescent="0.25">
      <c r="B205" s="21"/>
      <c r="D205" s="6"/>
    </row>
    <row r="206" spans="2:4" x14ac:dyDescent="0.25">
      <c r="B206" s="21"/>
      <c r="D206" s="6"/>
    </row>
    <row r="207" spans="2:4" x14ac:dyDescent="0.25">
      <c r="B207" s="21"/>
      <c r="D207" s="6"/>
    </row>
    <row r="208" spans="2:4" x14ac:dyDescent="0.25">
      <c r="B208" s="21"/>
      <c r="D208" s="6"/>
    </row>
    <row r="209" spans="2:4" x14ac:dyDescent="0.25">
      <c r="B209" s="21"/>
      <c r="D209" s="6"/>
    </row>
    <row r="210" spans="2:4" x14ac:dyDescent="0.25">
      <c r="B210" s="21"/>
      <c r="D210" s="6"/>
    </row>
    <row r="211" spans="2:4" x14ac:dyDescent="0.25">
      <c r="B211" s="21"/>
      <c r="D211" s="6"/>
    </row>
    <row r="212" spans="2:4" x14ac:dyDescent="0.25">
      <c r="B212" s="21"/>
      <c r="D212" s="6"/>
    </row>
    <row r="213" spans="2:4" x14ac:dyDescent="0.25">
      <c r="B213" s="21"/>
      <c r="D213" s="6"/>
    </row>
    <row r="214" spans="2:4" x14ac:dyDescent="0.25">
      <c r="B214" s="21"/>
      <c r="D214" s="6"/>
    </row>
    <row r="215" spans="2:4" x14ac:dyDescent="0.25">
      <c r="B215" s="21"/>
      <c r="D215" s="6"/>
    </row>
    <row r="216" spans="2:4" x14ac:dyDescent="0.25">
      <c r="B216" s="21"/>
      <c r="D216" s="6"/>
    </row>
    <row r="217" spans="2:4" x14ac:dyDescent="0.25">
      <c r="B217" s="21"/>
      <c r="D217" s="6"/>
    </row>
    <row r="218" spans="2:4" x14ac:dyDescent="0.25">
      <c r="B218" s="21"/>
      <c r="D218" s="6"/>
    </row>
    <row r="219" spans="2:4" x14ac:dyDescent="0.25">
      <c r="B219" s="21"/>
      <c r="D219" s="6"/>
    </row>
    <row r="220" spans="2:4" x14ac:dyDescent="0.25">
      <c r="B220" s="21"/>
      <c r="D220" s="6"/>
    </row>
    <row r="221" spans="2:4" x14ac:dyDescent="0.25">
      <c r="B221" s="21"/>
      <c r="D221" s="6"/>
    </row>
    <row r="222" spans="2:4" x14ac:dyDescent="0.25">
      <c r="B222" s="21"/>
      <c r="D222" s="6"/>
    </row>
    <row r="223" spans="2:4" x14ac:dyDescent="0.25">
      <c r="B223" s="21"/>
      <c r="D223" s="6"/>
    </row>
    <row r="224" spans="2:4" x14ac:dyDescent="0.25">
      <c r="B224" s="21"/>
      <c r="D224" s="6"/>
    </row>
    <row r="225" spans="2:4" x14ac:dyDescent="0.25">
      <c r="B225" s="21"/>
      <c r="D225" s="6"/>
    </row>
    <row r="226" spans="2:4" x14ac:dyDescent="0.25">
      <c r="B226" s="21"/>
      <c r="D226" s="6"/>
    </row>
    <row r="227" spans="2:4" x14ac:dyDescent="0.25">
      <c r="B227" s="21"/>
      <c r="D227" s="6"/>
    </row>
    <row r="228" spans="2:4" x14ac:dyDescent="0.25">
      <c r="B228" s="21"/>
      <c r="D228" s="6"/>
    </row>
    <row r="229" spans="2:4" x14ac:dyDescent="0.25">
      <c r="B229" s="21"/>
      <c r="D229" s="6"/>
    </row>
    <row r="230" spans="2:4" x14ac:dyDescent="0.25">
      <c r="B230" s="21"/>
      <c r="D230" s="6"/>
    </row>
    <row r="231" spans="2:4" x14ac:dyDescent="0.25">
      <c r="B231" s="21"/>
      <c r="D231" s="6"/>
    </row>
    <row r="232" spans="2:4" x14ac:dyDescent="0.25">
      <c r="B232" s="21"/>
      <c r="D232" s="6"/>
    </row>
    <row r="233" spans="2:4" x14ac:dyDescent="0.25">
      <c r="B233" s="21"/>
      <c r="D233" s="6"/>
    </row>
    <row r="234" spans="2:4" x14ac:dyDescent="0.25">
      <c r="B234" s="21"/>
      <c r="D234" s="6"/>
    </row>
    <row r="235" spans="2:4" x14ac:dyDescent="0.25">
      <c r="B235" s="21"/>
      <c r="D235" s="6"/>
    </row>
    <row r="236" spans="2:4" x14ac:dyDescent="0.25">
      <c r="B236" s="21"/>
      <c r="D236" s="6"/>
    </row>
    <row r="237" spans="2:4" x14ac:dyDescent="0.25">
      <c r="B237" s="21"/>
      <c r="D237" s="6"/>
    </row>
    <row r="238" spans="2:4" x14ac:dyDescent="0.25">
      <c r="B238" s="21"/>
      <c r="D238" s="6"/>
    </row>
    <row r="239" spans="2:4" x14ac:dyDescent="0.25">
      <c r="B239" s="21"/>
      <c r="D239" s="6"/>
    </row>
    <row r="240" spans="2:4" x14ac:dyDescent="0.25">
      <c r="B240" s="21"/>
      <c r="D240" s="6"/>
    </row>
    <row r="241" spans="2:4" x14ac:dyDescent="0.25">
      <c r="B241" s="21"/>
      <c r="D241" s="6"/>
    </row>
    <row r="242" spans="2:4" x14ac:dyDescent="0.25">
      <c r="B242" s="21"/>
      <c r="D242" s="6"/>
    </row>
    <row r="243" spans="2:4" x14ac:dyDescent="0.25">
      <c r="B243" s="21"/>
      <c r="D243" s="6"/>
    </row>
    <row r="244" spans="2:4" x14ac:dyDescent="0.25">
      <c r="B244" s="21"/>
      <c r="D244" s="6"/>
    </row>
    <row r="245" spans="2:4" x14ac:dyDescent="0.25">
      <c r="B245" s="21"/>
      <c r="D245" s="6"/>
    </row>
    <row r="246" spans="2:4" x14ac:dyDescent="0.25">
      <c r="B246" s="21"/>
      <c r="D246" s="6"/>
    </row>
    <row r="247" spans="2:4" x14ac:dyDescent="0.25">
      <c r="B247" s="21"/>
      <c r="D247" s="6"/>
    </row>
    <row r="248" spans="2:4" x14ac:dyDescent="0.25">
      <c r="B248" s="21"/>
      <c r="D248" s="6"/>
    </row>
    <row r="249" spans="2:4" x14ac:dyDescent="0.25">
      <c r="B249" s="21"/>
      <c r="D249" s="6"/>
    </row>
    <row r="250" spans="2:4" x14ac:dyDescent="0.25">
      <c r="B250" s="21"/>
      <c r="D250" s="6"/>
    </row>
    <row r="251" spans="2:4" x14ac:dyDescent="0.25">
      <c r="B251" s="21"/>
      <c r="D251" s="6"/>
    </row>
    <row r="252" spans="2:4" x14ac:dyDescent="0.25">
      <c r="B252" s="21"/>
      <c r="D252" s="6"/>
    </row>
    <row r="253" spans="2:4" x14ac:dyDescent="0.25">
      <c r="B253" s="21"/>
      <c r="D253" s="6"/>
    </row>
    <row r="254" spans="2:4" x14ac:dyDescent="0.25">
      <c r="B254" s="21"/>
      <c r="D254" s="6"/>
    </row>
  </sheetData>
  <phoneticPr fontId="1" type="noConversion"/>
  <hyperlinks>
    <hyperlink ref="A1" location="目录!A1" display="Back" xr:uid="{05349130-FF25-4E3E-B838-6B6CD43BB077}"/>
  </hyperlink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D489A5-E977-40C9-ABE2-6601CAE83640}">
  <dimension ref="A1:G253"/>
  <sheetViews>
    <sheetView showGridLines="0" zoomScale="190" zoomScaleNormal="190" workbookViewId="0">
      <pane xSplit="1" ySplit="1" topLeftCell="B2" activePane="bottomRight" state="frozen"/>
      <selection pane="topRight" activeCell="B1" sqref="B1"/>
      <selection pane="bottomLeft" activeCell="A2" sqref="A2"/>
      <selection pane="bottomRight"/>
    </sheetView>
  </sheetViews>
  <sheetFormatPr defaultRowHeight="13.8" x14ac:dyDescent="0.25"/>
  <cols>
    <col min="2" max="2" width="32.88671875" bestFit="1" customWidth="1"/>
    <col min="3" max="3" width="5.5546875" bestFit="1" customWidth="1"/>
  </cols>
  <sheetData>
    <row r="1" spans="1:7" x14ac:dyDescent="0.25">
      <c r="A1" s="5" t="s">
        <v>3</v>
      </c>
    </row>
    <row r="2" spans="1:7" ht="20.399999999999999" x14ac:dyDescent="0.25">
      <c r="A2" s="5"/>
      <c r="B2" s="10" t="s">
        <v>64</v>
      </c>
      <c r="C2" s="9"/>
      <c r="D2" s="9"/>
      <c r="E2" s="9"/>
      <c r="F2" s="9"/>
    </row>
    <row r="3" spans="1:7" x14ac:dyDescent="0.25">
      <c r="B3" t="s">
        <v>62</v>
      </c>
      <c r="C3" t="s">
        <v>63</v>
      </c>
      <c r="D3" t="s">
        <v>65</v>
      </c>
    </row>
    <row r="4" spans="1:7" x14ac:dyDescent="0.25">
      <c r="B4" s="21">
        <v>44862</v>
      </c>
      <c r="C4">
        <v>2.37</v>
      </c>
      <c r="E4" s="22" t="s">
        <v>66</v>
      </c>
      <c r="F4" s="22">
        <f>_xlfn.STDEV.S(D5:D253)</f>
        <v>1.1951805127491567E-2</v>
      </c>
      <c r="G4" s="22"/>
    </row>
    <row r="5" spans="1:7" x14ac:dyDescent="0.25">
      <c r="B5" s="21">
        <v>44861</v>
      </c>
      <c r="C5">
        <v>2.42</v>
      </c>
      <c r="D5" s="6">
        <f>LN(C5/C4)</f>
        <v>2.0877585021555178E-2</v>
      </c>
      <c r="F5" s="22">
        <f>F4*SQRT(250)</f>
        <v>0.18897463176676235</v>
      </c>
      <c r="G5" s="6"/>
    </row>
    <row r="6" spans="1:7" x14ac:dyDescent="0.25">
      <c r="B6" s="21">
        <v>44860</v>
      </c>
      <c r="C6">
        <v>2.44</v>
      </c>
      <c r="D6" s="6">
        <f t="shared" ref="D6:D69" si="0">LN(C6/C5)</f>
        <v>8.2304991365154435E-3</v>
      </c>
    </row>
    <row r="7" spans="1:7" x14ac:dyDescent="0.25">
      <c r="B7" s="21">
        <v>44859</v>
      </c>
      <c r="C7">
        <v>2.4300000000000002</v>
      </c>
      <c r="D7" s="6">
        <f t="shared" si="0"/>
        <v>-4.1067819526533593E-3</v>
      </c>
    </row>
    <row r="8" spans="1:7" x14ac:dyDescent="0.25">
      <c r="B8" s="21">
        <v>44858</v>
      </c>
      <c r="C8">
        <v>2.44</v>
      </c>
      <c r="D8" s="6">
        <f t="shared" si="0"/>
        <v>4.1067819526532812E-3</v>
      </c>
    </row>
    <row r="9" spans="1:7" x14ac:dyDescent="0.25">
      <c r="B9" s="21">
        <v>44855</v>
      </c>
      <c r="C9">
        <v>2.5299999999999998</v>
      </c>
      <c r="D9" s="6">
        <f t="shared" si="0"/>
        <v>3.6221263434318356E-2</v>
      </c>
    </row>
    <row r="10" spans="1:7" x14ac:dyDescent="0.25">
      <c r="B10" s="21">
        <v>44854</v>
      </c>
      <c r="C10">
        <v>2.54</v>
      </c>
      <c r="D10" s="6">
        <f t="shared" si="0"/>
        <v>3.9447782910165463E-3</v>
      </c>
    </row>
    <row r="11" spans="1:7" x14ac:dyDescent="0.25">
      <c r="B11" s="21">
        <v>44853</v>
      </c>
      <c r="C11">
        <v>2.56</v>
      </c>
      <c r="D11" s="6">
        <f t="shared" si="0"/>
        <v>7.8431774610258787E-3</v>
      </c>
    </row>
    <row r="12" spans="1:7" x14ac:dyDescent="0.25">
      <c r="B12" s="21">
        <v>44852</v>
      </c>
      <c r="C12">
        <v>2.61</v>
      </c>
      <c r="D12" s="6">
        <f t="shared" si="0"/>
        <v>1.9342962843130935E-2</v>
      </c>
    </row>
    <row r="13" spans="1:7" x14ac:dyDescent="0.25">
      <c r="B13" s="21">
        <v>44851</v>
      </c>
      <c r="C13">
        <v>2.62</v>
      </c>
      <c r="D13" s="6">
        <f t="shared" si="0"/>
        <v>3.8240964384034758E-3</v>
      </c>
    </row>
    <row r="14" spans="1:7" x14ac:dyDescent="0.25">
      <c r="B14" s="21">
        <v>44848</v>
      </c>
      <c r="C14">
        <v>2.63</v>
      </c>
      <c r="D14" s="6">
        <f t="shared" si="0"/>
        <v>3.8095284166676487E-3</v>
      </c>
    </row>
    <row r="15" spans="1:7" x14ac:dyDescent="0.25">
      <c r="B15" s="21">
        <v>44847</v>
      </c>
      <c r="C15">
        <v>2.56</v>
      </c>
      <c r="D15" s="6">
        <f t="shared" si="0"/>
        <v>-2.6976587698201968E-2</v>
      </c>
    </row>
    <row r="16" spans="1:7" x14ac:dyDescent="0.25">
      <c r="B16" s="21">
        <v>44846</v>
      </c>
      <c r="C16">
        <v>2.59</v>
      </c>
      <c r="D16" s="6">
        <f t="shared" si="0"/>
        <v>1.1650617219975274E-2</v>
      </c>
    </row>
    <row r="17" spans="2:4" x14ac:dyDescent="0.25">
      <c r="B17" s="21">
        <v>44845</v>
      </c>
      <c r="C17">
        <v>2.58</v>
      </c>
      <c r="D17" s="6">
        <f t="shared" si="0"/>
        <v>-3.8684767779202061E-3</v>
      </c>
    </row>
    <row r="18" spans="2:4" x14ac:dyDescent="0.25">
      <c r="B18" s="21">
        <v>44844</v>
      </c>
      <c r="C18">
        <v>2.59</v>
      </c>
      <c r="D18" s="6">
        <f t="shared" si="0"/>
        <v>3.8684767779203319E-3</v>
      </c>
    </row>
    <row r="19" spans="2:4" x14ac:dyDescent="0.25">
      <c r="B19" s="21">
        <v>44834</v>
      </c>
      <c r="C19">
        <v>2.65</v>
      </c>
      <c r="D19" s="6">
        <f t="shared" si="0"/>
        <v>2.2901764286684414E-2</v>
      </c>
    </row>
    <row r="20" spans="2:4" x14ac:dyDescent="0.25">
      <c r="B20" s="21">
        <v>44833</v>
      </c>
      <c r="C20">
        <v>2.65</v>
      </c>
      <c r="D20" s="6">
        <f t="shared" si="0"/>
        <v>0</v>
      </c>
    </row>
    <row r="21" spans="2:4" x14ac:dyDescent="0.25">
      <c r="B21" s="21">
        <v>44832</v>
      </c>
      <c r="C21">
        <v>2.65</v>
      </c>
      <c r="D21" s="6">
        <f t="shared" si="0"/>
        <v>0</v>
      </c>
    </row>
    <row r="22" spans="2:4" x14ac:dyDescent="0.25">
      <c r="B22" s="21">
        <v>44831</v>
      </c>
      <c r="C22">
        <v>2.68</v>
      </c>
      <c r="D22" s="6">
        <f t="shared" si="0"/>
        <v>1.1257154524634468E-2</v>
      </c>
    </row>
    <row r="23" spans="2:4" x14ac:dyDescent="0.25">
      <c r="B23" s="21">
        <v>44830</v>
      </c>
      <c r="C23">
        <v>2.65</v>
      </c>
      <c r="D23" s="6">
        <f t="shared" si="0"/>
        <v>-1.1257154524634558E-2</v>
      </c>
    </row>
    <row r="24" spans="2:4" x14ac:dyDescent="0.25">
      <c r="B24" s="21">
        <v>44827</v>
      </c>
      <c r="C24">
        <v>2.67</v>
      </c>
      <c r="D24" s="6">
        <f t="shared" si="0"/>
        <v>7.518832414027319E-3</v>
      </c>
    </row>
    <row r="25" spans="2:4" x14ac:dyDescent="0.25">
      <c r="B25" s="21">
        <v>44826</v>
      </c>
      <c r="C25">
        <v>2.67</v>
      </c>
      <c r="D25" s="6">
        <f t="shared" si="0"/>
        <v>0</v>
      </c>
    </row>
    <row r="26" spans="2:4" x14ac:dyDescent="0.25">
      <c r="B26" s="21">
        <v>44825</v>
      </c>
      <c r="C26">
        <v>2.69</v>
      </c>
      <c r="D26" s="6">
        <f t="shared" si="0"/>
        <v>7.4627212015895943E-3</v>
      </c>
    </row>
    <row r="27" spans="2:4" x14ac:dyDescent="0.25">
      <c r="B27" s="21">
        <v>44824</v>
      </c>
      <c r="C27">
        <v>2.71</v>
      </c>
      <c r="D27" s="6">
        <f t="shared" si="0"/>
        <v>7.4074412778618176E-3</v>
      </c>
    </row>
    <row r="28" spans="2:4" x14ac:dyDescent="0.25">
      <c r="B28" s="21">
        <v>44823</v>
      </c>
      <c r="C28">
        <v>2.72</v>
      </c>
      <c r="D28" s="6">
        <f t="shared" si="0"/>
        <v>3.6832454162965891E-3</v>
      </c>
    </row>
    <row r="29" spans="2:4" x14ac:dyDescent="0.25">
      <c r="B29" s="21">
        <v>44820</v>
      </c>
      <c r="C29">
        <v>2.72</v>
      </c>
      <c r="D29" s="6">
        <f t="shared" si="0"/>
        <v>0</v>
      </c>
    </row>
    <row r="30" spans="2:4" x14ac:dyDescent="0.25">
      <c r="B30" s="21">
        <v>44819</v>
      </c>
      <c r="C30">
        <v>2.78</v>
      </c>
      <c r="D30" s="6">
        <f t="shared" si="0"/>
        <v>2.1819047394639673E-2</v>
      </c>
    </row>
    <row r="31" spans="2:4" x14ac:dyDescent="0.25">
      <c r="B31" s="21">
        <v>44818</v>
      </c>
      <c r="C31">
        <v>2.79</v>
      </c>
      <c r="D31" s="6">
        <f t="shared" si="0"/>
        <v>3.59066813072854E-3</v>
      </c>
    </row>
    <row r="32" spans="2:4" x14ac:dyDescent="0.25">
      <c r="B32" s="21">
        <v>44817</v>
      </c>
      <c r="C32">
        <v>2.81</v>
      </c>
      <c r="D32" s="6">
        <f t="shared" si="0"/>
        <v>7.1428875123802039E-3</v>
      </c>
    </row>
    <row r="33" spans="2:4" x14ac:dyDescent="0.25">
      <c r="B33" s="21">
        <v>44813</v>
      </c>
      <c r="C33">
        <v>2.8</v>
      </c>
      <c r="D33" s="6">
        <f t="shared" si="0"/>
        <v>-3.5650661644962569E-3</v>
      </c>
    </row>
    <row r="34" spans="2:4" x14ac:dyDescent="0.25">
      <c r="B34" s="21">
        <v>44812</v>
      </c>
      <c r="C34">
        <v>2.75</v>
      </c>
      <c r="D34" s="6">
        <f t="shared" si="0"/>
        <v>-1.801850550267825E-2</v>
      </c>
    </row>
    <row r="35" spans="2:4" x14ac:dyDescent="0.25">
      <c r="B35" s="21">
        <v>44811</v>
      </c>
      <c r="C35">
        <v>2.75</v>
      </c>
      <c r="D35" s="6">
        <f t="shared" si="0"/>
        <v>0</v>
      </c>
    </row>
    <row r="36" spans="2:4" x14ac:dyDescent="0.25">
      <c r="B36" s="21">
        <v>44810</v>
      </c>
      <c r="C36">
        <v>2.76</v>
      </c>
      <c r="D36" s="6">
        <f t="shared" si="0"/>
        <v>3.6297680505787311E-3</v>
      </c>
    </row>
    <row r="37" spans="2:4" x14ac:dyDescent="0.25">
      <c r="B37" s="21">
        <v>44809</v>
      </c>
      <c r="C37">
        <v>2.74</v>
      </c>
      <c r="D37" s="6">
        <f t="shared" si="0"/>
        <v>-7.2727593290795849E-3</v>
      </c>
    </row>
    <row r="38" spans="2:4" x14ac:dyDescent="0.25">
      <c r="B38" s="21">
        <v>44806</v>
      </c>
      <c r="C38">
        <v>2.75</v>
      </c>
      <c r="D38" s="6">
        <f t="shared" si="0"/>
        <v>3.6429912785010087E-3</v>
      </c>
    </row>
    <row r="39" spans="2:4" x14ac:dyDescent="0.25">
      <c r="B39" s="21">
        <v>44805</v>
      </c>
      <c r="C39">
        <v>2.78</v>
      </c>
      <c r="D39" s="6">
        <f t="shared" si="0"/>
        <v>1.0850016024065623E-2</v>
      </c>
    </row>
    <row r="40" spans="2:4" x14ac:dyDescent="0.25">
      <c r="B40" s="21">
        <v>44804</v>
      </c>
      <c r="C40">
        <v>2.8</v>
      </c>
      <c r="D40" s="6">
        <f t="shared" si="0"/>
        <v>7.168489478612497E-3</v>
      </c>
    </row>
    <row r="41" spans="2:4" x14ac:dyDescent="0.25">
      <c r="B41" s="21">
        <v>44803</v>
      </c>
      <c r="C41">
        <v>2.77</v>
      </c>
      <c r="D41" s="6">
        <f t="shared" si="0"/>
        <v>-1.077209698191107E-2</v>
      </c>
    </row>
    <row r="42" spans="2:4" x14ac:dyDescent="0.25">
      <c r="B42" s="21">
        <v>44802</v>
      </c>
      <c r="C42">
        <v>2.77</v>
      </c>
      <c r="D42" s="6">
        <f t="shared" si="0"/>
        <v>0</v>
      </c>
    </row>
    <row r="43" spans="2:4" x14ac:dyDescent="0.25">
      <c r="B43" s="21">
        <v>44799</v>
      </c>
      <c r="C43">
        <v>2.79</v>
      </c>
      <c r="D43" s="6">
        <f t="shared" si="0"/>
        <v>7.1942756340272309E-3</v>
      </c>
    </row>
    <row r="44" spans="2:4" x14ac:dyDescent="0.25">
      <c r="B44" s="21">
        <v>44798</v>
      </c>
      <c r="C44">
        <v>2.79</v>
      </c>
      <c r="D44" s="6">
        <f t="shared" si="0"/>
        <v>0</v>
      </c>
    </row>
    <row r="45" spans="2:4" x14ac:dyDescent="0.25">
      <c r="B45" s="21">
        <v>44797</v>
      </c>
      <c r="C45">
        <v>2.75</v>
      </c>
      <c r="D45" s="6">
        <f t="shared" si="0"/>
        <v>-1.444068415479436E-2</v>
      </c>
    </row>
    <row r="46" spans="2:4" x14ac:dyDescent="0.25">
      <c r="B46" s="21">
        <v>44796</v>
      </c>
      <c r="C46">
        <v>2.77</v>
      </c>
      <c r="D46" s="6">
        <f t="shared" si="0"/>
        <v>7.2464085207672533E-3</v>
      </c>
    </row>
    <row r="47" spans="2:4" x14ac:dyDescent="0.25">
      <c r="B47" s="21">
        <v>44795</v>
      </c>
      <c r="C47">
        <v>2.79</v>
      </c>
      <c r="D47" s="6">
        <f t="shared" si="0"/>
        <v>7.1942756340272309E-3</v>
      </c>
    </row>
    <row r="48" spans="2:4" x14ac:dyDescent="0.25">
      <c r="B48" s="21">
        <v>44792</v>
      </c>
      <c r="C48">
        <v>2.79</v>
      </c>
      <c r="D48" s="6">
        <f t="shared" si="0"/>
        <v>0</v>
      </c>
    </row>
    <row r="49" spans="2:4" x14ac:dyDescent="0.25">
      <c r="B49" s="21">
        <v>44791</v>
      </c>
      <c r="C49">
        <v>2.8</v>
      </c>
      <c r="D49" s="6">
        <f t="shared" si="0"/>
        <v>3.5778213478839024E-3</v>
      </c>
    </row>
    <row r="50" spans="2:4" x14ac:dyDescent="0.25">
      <c r="B50" s="21">
        <v>44790</v>
      </c>
      <c r="C50">
        <v>2.82</v>
      </c>
      <c r="D50" s="6">
        <f t="shared" si="0"/>
        <v>7.1174677688639549E-3</v>
      </c>
    </row>
    <row r="51" spans="2:4" x14ac:dyDescent="0.25">
      <c r="B51" s="21">
        <v>44789</v>
      </c>
      <c r="C51">
        <v>2.81</v>
      </c>
      <c r="D51" s="6">
        <f t="shared" si="0"/>
        <v>-3.5524016043677721E-3</v>
      </c>
    </row>
    <row r="52" spans="2:4" x14ac:dyDescent="0.25">
      <c r="B52" s="21">
        <v>44788</v>
      </c>
      <c r="C52">
        <v>2.82</v>
      </c>
      <c r="D52" s="6">
        <f t="shared" si="0"/>
        <v>3.5524016043677006E-3</v>
      </c>
    </row>
    <row r="53" spans="2:4" x14ac:dyDescent="0.25">
      <c r="B53" s="21">
        <v>44785</v>
      </c>
      <c r="C53">
        <v>2.84</v>
      </c>
      <c r="D53" s="6">
        <f t="shared" si="0"/>
        <v>7.0671672230923528E-3</v>
      </c>
    </row>
    <row r="54" spans="2:4" x14ac:dyDescent="0.25">
      <c r="B54" s="21">
        <v>44784</v>
      </c>
      <c r="C54">
        <v>2.83</v>
      </c>
      <c r="D54" s="6">
        <f t="shared" si="0"/>
        <v>-3.5273405179682992E-3</v>
      </c>
    </row>
    <row r="55" spans="2:4" x14ac:dyDescent="0.25">
      <c r="B55" s="21">
        <v>44783</v>
      </c>
      <c r="C55">
        <v>2.77</v>
      </c>
      <c r="D55" s="6">
        <f t="shared" si="0"/>
        <v>-2.1429391455899165E-2</v>
      </c>
    </row>
    <row r="56" spans="2:4" x14ac:dyDescent="0.25">
      <c r="B56" s="21">
        <v>44782</v>
      </c>
      <c r="C56">
        <v>2.8</v>
      </c>
      <c r="D56" s="6">
        <f t="shared" si="0"/>
        <v>1.077209698191104E-2</v>
      </c>
    </row>
    <row r="57" spans="2:4" x14ac:dyDescent="0.25">
      <c r="B57" s="21">
        <v>44781</v>
      </c>
      <c r="C57">
        <v>2.8</v>
      </c>
      <c r="D57" s="6">
        <f t="shared" si="0"/>
        <v>0</v>
      </c>
    </row>
    <row r="58" spans="2:4" x14ac:dyDescent="0.25">
      <c r="B58" s="21">
        <v>44778</v>
      </c>
      <c r="C58">
        <v>2.82</v>
      </c>
      <c r="D58" s="6">
        <f t="shared" si="0"/>
        <v>7.1174677688639549E-3</v>
      </c>
    </row>
    <row r="59" spans="2:4" x14ac:dyDescent="0.25">
      <c r="B59" s="21">
        <v>44777</v>
      </c>
      <c r="C59">
        <v>2.78</v>
      </c>
      <c r="D59" s="6">
        <f t="shared" si="0"/>
        <v>-1.4285957247476541E-2</v>
      </c>
    </row>
    <row r="60" spans="2:4" x14ac:dyDescent="0.25">
      <c r="B60" s="21">
        <v>44776</v>
      </c>
      <c r="C60">
        <v>2.75</v>
      </c>
      <c r="D60" s="6">
        <f t="shared" si="0"/>
        <v>-1.0850016024065705E-2</v>
      </c>
    </row>
    <row r="61" spans="2:4" x14ac:dyDescent="0.25">
      <c r="B61" s="21">
        <v>44775</v>
      </c>
      <c r="C61">
        <v>2.77</v>
      </c>
      <c r="D61" s="6">
        <f t="shared" si="0"/>
        <v>7.2464085207672533E-3</v>
      </c>
    </row>
    <row r="62" spans="2:4" x14ac:dyDescent="0.25">
      <c r="B62" s="21">
        <v>44774</v>
      </c>
      <c r="C62">
        <v>2.82</v>
      </c>
      <c r="D62" s="6">
        <f t="shared" si="0"/>
        <v>1.7889564750775123E-2</v>
      </c>
    </row>
    <row r="63" spans="2:4" x14ac:dyDescent="0.25">
      <c r="B63" s="21">
        <v>44771</v>
      </c>
      <c r="C63">
        <v>2.83</v>
      </c>
      <c r="D63" s="6">
        <f t="shared" si="0"/>
        <v>3.539826705124208E-3</v>
      </c>
    </row>
    <row r="64" spans="2:4" x14ac:dyDescent="0.25">
      <c r="B64" s="21">
        <v>44770</v>
      </c>
      <c r="C64">
        <v>2.87</v>
      </c>
      <c r="D64" s="6">
        <f t="shared" si="0"/>
        <v>1.4035318116383583E-2</v>
      </c>
    </row>
    <row r="65" spans="2:4" x14ac:dyDescent="0.25">
      <c r="B65" s="21">
        <v>44769</v>
      </c>
      <c r="C65">
        <v>2.87</v>
      </c>
      <c r="D65" s="6">
        <f t="shared" si="0"/>
        <v>0</v>
      </c>
    </row>
    <row r="66" spans="2:4" x14ac:dyDescent="0.25">
      <c r="B66" s="21">
        <v>44768</v>
      </c>
      <c r="C66">
        <v>2.89</v>
      </c>
      <c r="D66" s="6">
        <f t="shared" si="0"/>
        <v>6.944472352810995E-3</v>
      </c>
    </row>
    <row r="67" spans="2:4" x14ac:dyDescent="0.25">
      <c r="B67" s="21">
        <v>44767</v>
      </c>
      <c r="C67">
        <v>2.88</v>
      </c>
      <c r="D67" s="6">
        <f t="shared" si="0"/>
        <v>-3.466207976486284E-3</v>
      </c>
    </row>
    <row r="68" spans="2:4" x14ac:dyDescent="0.25">
      <c r="B68" s="21">
        <v>44764</v>
      </c>
      <c r="C68">
        <v>2.89</v>
      </c>
      <c r="D68" s="6">
        <f t="shared" si="0"/>
        <v>3.4662079764863291E-3</v>
      </c>
    </row>
    <row r="69" spans="2:4" x14ac:dyDescent="0.25">
      <c r="B69" s="21">
        <v>44763</v>
      </c>
      <c r="C69">
        <v>2.87</v>
      </c>
      <c r="D69" s="6">
        <f t="shared" si="0"/>
        <v>-6.9444723528110461E-3</v>
      </c>
    </row>
    <row r="70" spans="2:4" x14ac:dyDescent="0.25">
      <c r="B70" s="21">
        <v>44762</v>
      </c>
      <c r="C70">
        <v>2.91</v>
      </c>
      <c r="D70" s="6">
        <f t="shared" ref="D70:D133" si="1">LN(C70/C69)</f>
        <v>1.3841051411871511E-2</v>
      </c>
    </row>
    <row r="71" spans="2:4" x14ac:dyDescent="0.25">
      <c r="B71" s="21">
        <v>44761</v>
      </c>
      <c r="C71">
        <v>2.9</v>
      </c>
      <c r="D71" s="6">
        <f t="shared" si="1"/>
        <v>-3.4423441909729015E-3</v>
      </c>
    </row>
    <row r="72" spans="2:4" x14ac:dyDescent="0.25">
      <c r="B72" s="21">
        <v>44760</v>
      </c>
      <c r="C72">
        <v>2.91</v>
      </c>
      <c r="D72" s="6">
        <f t="shared" si="1"/>
        <v>3.4423441909729197E-3</v>
      </c>
    </row>
    <row r="73" spans="2:4" x14ac:dyDescent="0.25">
      <c r="B73" s="21">
        <v>44757</v>
      </c>
      <c r="C73">
        <v>2.87</v>
      </c>
      <c r="D73" s="6">
        <f t="shared" si="1"/>
        <v>-1.3841051411871468E-2</v>
      </c>
    </row>
    <row r="74" spans="2:4" x14ac:dyDescent="0.25">
      <c r="B74" s="21">
        <v>44756</v>
      </c>
      <c r="C74">
        <v>2.91</v>
      </c>
      <c r="D74" s="6">
        <f t="shared" si="1"/>
        <v>1.3841051411871511E-2</v>
      </c>
    </row>
    <row r="75" spans="2:4" x14ac:dyDescent="0.25">
      <c r="B75" s="21">
        <v>44755</v>
      </c>
      <c r="C75">
        <v>2.93</v>
      </c>
      <c r="D75" s="6">
        <f t="shared" si="1"/>
        <v>6.8493418455747683E-3</v>
      </c>
    </row>
    <row r="76" spans="2:4" x14ac:dyDescent="0.25">
      <c r="B76" s="21">
        <v>44754</v>
      </c>
      <c r="C76">
        <v>2.94</v>
      </c>
      <c r="D76" s="6">
        <f t="shared" si="1"/>
        <v>3.4071583216141346E-3</v>
      </c>
    </row>
    <row r="77" spans="2:4" x14ac:dyDescent="0.25">
      <c r="B77" s="21">
        <v>44753</v>
      </c>
      <c r="C77">
        <v>2.96</v>
      </c>
      <c r="D77" s="6">
        <f t="shared" si="1"/>
        <v>6.7796869853787691E-3</v>
      </c>
    </row>
    <row r="78" spans="2:4" x14ac:dyDescent="0.25">
      <c r="B78" s="21">
        <v>44750</v>
      </c>
      <c r="C78">
        <v>3.01</v>
      </c>
      <c r="D78" s="6">
        <f t="shared" si="1"/>
        <v>1.6750810424815351E-2</v>
      </c>
    </row>
    <row r="79" spans="2:4" x14ac:dyDescent="0.25">
      <c r="B79" s="21">
        <v>44749</v>
      </c>
      <c r="C79">
        <v>3</v>
      </c>
      <c r="D79" s="6">
        <f t="shared" si="1"/>
        <v>-3.3277900926745796E-3</v>
      </c>
    </row>
    <row r="80" spans="2:4" x14ac:dyDescent="0.25">
      <c r="B80" s="21">
        <v>44748</v>
      </c>
      <c r="C80">
        <v>3.01</v>
      </c>
      <c r="D80" s="6">
        <f t="shared" si="1"/>
        <v>3.3277900926745245E-3</v>
      </c>
    </row>
    <row r="81" spans="2:4" x14ac:dyDescent="0.25">
      <c r="B81" s="21">
        <v>44747</v>
      </c>
      <c r="C81">
        <v>3.06</v>
      </c>
      <c r="D81" s="6">
        <f t="shared" si="1"/>
        <v>1.6474837203505042E-2</v>
      </c>
    </row>
    <row r="82" spans="2:4" x14ac:dyDescent="0.25">
      <c r="B82" s="21">
        <v>44746</v>
      </c>
      <c r="C82">
        <v>3.06</v>
      </c>
      <c r="D82" s="6">
        <f t="shared" si="1"/>
        <v>0</v>
      </c>
    </row>
    <row r="83" spans="2:4" x14ac:dyDescent="0.25">
      <c r="B83" s="21">
        <v>44743</v>
      </c>
      <c r="C83">
        <v>3.06</v>
      </c>
      <c r="D83" s="6">
        <f t="shared" si="1"/>
        <v>0</v>
      </c>
    </row>
    <row r="84" spans="2:4" x14ac:dyDescent="0.25">
      <c r="B84" s="21">
        <v>44742</v>
      </c>
      <c r="C84">
        <v>3.07</v>
      </c>
      <c r="D84" s="6">
        <f t="shared" si="1"/>
        <v>3.2626456348163694E-3</v>
      </c>
    </row>
    <row r="85" spans="2:4" x14ac:dyDescent="0.25">
      <c r="B85" s="21">
        <v>44741</v>
      </c>
      <c r="C85">
        <v>3.02</v>
      </c>
      <c r="D85" s="6">
        <f t="shared" si="1"/>
        <v>-1.6420730212327411E-2</v>
      </c>
    </row>
    <row r="86" spans="2:4" x14ac:dyDescent="0.25">
      <c r="B86" s="21">
        <v>44740</v>
      </c>
      <c r="C86">
        <v>3.04</v>
      </c>
      <c r="D86" s="6">
        <f t="shared" si="1"/>
        <v>6.6006840313520927E-3</v>
      </c>
    </row>
    <row r="87" spans="2:4" x14ac:dyDescent="0.25">
      <c r="B87" s="21">
        <v>44739</v>
      </c>
      <c r="C87">
        <v>3.02</v>
      </c>
      <c r="D87" s="6">
        <f t="shared" si="1"/>
        <v>-6.6006840313520242E-3</v>
      </c>
    </row>
    <row r="88" spans="2:4" x14ac:dyDescent="0.25">
      <c r="B88" s="21">
        <v>44736</v>
      </c>
      <c r="C88">
        <v>2.98</v>
      </c>
      <c r="D88" s="6">
        <f t="shared" si="1"/>
        <v>-1.3333530869465144E-2</v>
      </c>
    </row>
    <row r="89" spans="2:4" x14ac:dyDescent="0.25">
      <c r="B89" s="21">
        <v>44735</v>
      </c>
      <c r="C89">
        <v>2.94</v>
      </c>
      <c r="D89" s="6">
        <f t="shared" si="1"/>
        <v>-1.351371916672282E-2</v>
      </c>
    </row>
    <row r="90" spans="2:4" x14ac:dyDescent="0.25">
      <c r="B90" s="21">
        <v>44734</v>
      </c>
      <c r="C90">
        <v>2.9</v>
      </c>
      <c r="D90" s="6">
        <f t="shared" si="1"/>
        <v>-1.3698844358161915E-2</v>
      </c>
    </row>
    <row r="91" spans="2:4" x14ac:dyDescent="0.25">
      <c r="B91" s="21">
        <v>44733</v>
      </c>
      <c r="C91">
        <v>2.93</v>
      </c>
      <c r="D91" s="6">
        <f t="shared" si="1"/>
        <v>1.0291686036547724E-2</v>
      </c>
    </row>
    <row r="92" spans="2:4" x14ac:dyDescent="0.25">
      <c r="B92" s="21">
        <v>44732</v>
      </c>
      <c r="C92">
        <v>2.92</v>
      </c>
      <c r="D92" s="6">
        <f t="shared" si="1"/>
        <v>-3.418806748785609E-3</v>
      </c>
    </row>
    <row r="93" spans="2:4" x14ac:dyDescent="0.25">
      <c r="B93" s="21">
        <v>44729</v>
      </c>
      <c r="C93">
        <v>2.93</v>
      </c>
      <c r="D93" s="6">
        <f t="shared" si="1"/>
        <v>3.4188067487856823E-3</v>
      </c>
    </row>
    <row r="94" spans="2:4" x14ac:dyDescent="0.25">
      <c r="B94" s="21">
        <v>44728</v>
      </c>
      <c r="C94">
        <v>2.89</v>
      </c>
      <c r="D94" s="6">
        <f t="shared" si="1"/>
        <v>-1.3745920904635126E-2</v>
      </c>
    </row>
    <row r="95" spans="2:4" x14ac:dyDescent="0.25">
      <c r="B95" s="21">
        <v>44727</v>
      </c>
      <c r="C95">
        <v>2.91</v>
      </c>
      <c r="D95" s="6">
        <f t="shared" si="1"/>
        <v>6.8965790590604587E-3</v>
      </c>
    </row>
    <row r="96" spans="2:4" x14ac:dyDescent="0.25">
      <c r="B96" s="21">
        <v>44726</v>
      </c>
      <c r="C96">
        <v>2.87</v>
      </c>
      <c r="D96" s="6">
        <f t="shared" si="1"/>
        <v>-1.3841051411871468E-2</v>
      </c>
    </row>
    <row r="97" spans="2:4" x14ac:dyDescent="0.25">
      <c r="B97" s="21">
        <v>44725</v>
      </c>
      <c r="C97">
        <v>2.84</v>
      </c>
      <c r="D97" s="6">
        <f t="shared" si="1"/>
        <v>-1.0507977598415206E-2</v>
      </c>
    </row>
    <row r="98" spans="2:4" x14ac:dyDescent="0.25">
      <c r="B98" s="21">
        <v>44722</v>
      </c>
      <c r="C98">
        <v>2.89</v>
      </c>
      <c r="D98" s="6">
        <f t="shared" si="1"/>
        <v>1.7452449951226207E-2</v>
      </c>
    </row>
    <row r="99" spans="2:4" x14ac:dyDescent="0.25">
      <c r="B99" s="21">
        <v>44721</v>
      </c>
      <c r="C99">
        <v>2.85</v>
      </c>
      <c r="D99" s="6">
        <f t="shared" si="1"/>
        <v>-1.3937507843781624E-2</v>
      </c>
    </row>
    <row r="100" spans="2:4" x14ac:dyDescent="0.25">
      <c r="B100" s="21">
        <v>44720</v>
      </c>
      <c r="C100">
        <v>2.86</v>
      </c>
      <c r="D100" s="6">
        <f t="shared" si="1"/>
        <v>3.5026305512020745E-3</v>
      </c>
    </row>
    <row r="101" spans="2:4" x14ac:dyDescent="0.25">
      <c r="B101" s="21">
        <v>44719</v>
      </c>
      <c r="C101">
        <v>2.83</v>
      </c>
      <c r="D101" s="6">
        <f t="shared" si="1"/>
        <v>-1.0544913176614887E-2</v>
      </c>
    </row>
    <row r="102" spans="2:4" x14ac:dyDescent="0.25">
      <c r="B102" s="21">
        <v>44718</v>
      </c>
      <c r="C102">
        <v>2.81</v>
      </c>
      <c r="D102" s="6">
        <f t="shared" si="1"/>
        <v>-7.0922283094919103E-3</v>
      </c>
    </row>
    <row r="103" spans="2:4" x14ac:dyDescent="0.25">
      <c r="B103" s="21">
        <v>44714</v>
      </c>
      <c r="C103">
        <v>2.78</v>
      </c>
      <c r="D103" s="6">
        <f t="shared" si="1"/>
        <v>-1.0733555643108777E-2</v>
      </c>
    </row>
    <row r="104" spans="2:4" x14ac:dyDescent="0.25">
      <c r="B104" s="21">
        <v>44713</v>
      </c>
      <c r="C104">
        <v>2.78</v>
      </c>
      <c r="D104" s="6">
        <f t="shared" si="1"/>
        <v>0</v>
      </c>
    </row>
    <row r="105" spans="2:4" x14ac:dyDescent="0.25">
      <c r="B105" s="21">
        <v>44712</v>
      </c>
      <c r="C105">
        <v>2.79</v>
      </c>
      <c r="D105" s="6">
        <f t="shared" si="1"/>
        <v>3.59066813072854E-3</v>
      </c>
    </row>
    <row r="106" spans="2:4" x14ac:dyDescent="0.25">
      <c r="B106" s="21">
        <v>44711</v>
      </c>
      <c r="C106">
        <v>2.76</v>
      </c>
      <c r="D106" s="6">
        <f t="shared" si="1"/>
        <v>-1.081091610421573E-2</v>
      </c>
    </row>
    <row r="107" spans="2:4" x14ac:dyDescent="0.25">
      <c r="B107" s="21">
        <v>44708</v>
      </c>
      <c r="C107">
        <v>2.74</v>
      </c>
      <c r="D107" s="6">
        <f t="shared" si="1"/>
        <v>-7.2727593290795849E-3</v>
      </c>
    </row>
    <row r="108" spans="2:4" x14ac:dyDescent="0.25">
      <c r="B108" s="21">
        <v>44707</v>
      </c>
      <c r="C108">
        <v>2.72</v>
      </c>
      <c r="D108" s="6">
        <f t="shared" si="1"/>
        <v>-7.3260400920728977E-3</v>
      </c>
    </row>
    <row r="109" spans="2:4" x14ac:dyDescent="0.25">
      <c r="B109" s="21">
        <v>44706</v>
      </c>
      <c r="C109">
        <v>2.72</v>
      </c>
      <c r="D109" s="6">
        <f t="shared" si="1"/>
        <v>0</v>
      </c>
    </row>
    <row r="110" spans="2:4" x14ac:dyDescent="0.25">
      <c r="B110" s="21">
        <v>44705</v>
      </c>
      <c r="C110">
        <v>2.72</v>
      </c>
      <c r="D110" s="6">
        <f t="shared" si="1"/>
        <v>0</v>
      </c>
    </row>
    <row r="111" spans="2:4" x14ac:dyDescent="0.25">
      <c r="B111" s="21">
        <v>44704</v>
      </c>
      <c r="C111">
        <v>2.76</v>
      </c>
      <c r="D111" s="6">
        <f t="shared" si="1"/>
        <v>1.4598799421152631E-2</v>
      </c>
    </row>
    <row r="112" spans="2:4" x14ac:dyDescent="0.25">
      <c r="B112" s="21">
        <v>44701</v>
      </c>
      <c r="C112">
        <v>2.79</v>
      </c>
      <c r="D112" s="6">
        <f t="shared" si="1"/>
        <v>1.0810916104215676E-2</v>
      </c>
    </row>
    <row r="113" spans="2:4" x14ac:dyDescent="0.25">
      <c r="B113" s="21">
        <v>44700</v>
      </c>
      <c r="C113">
        <v>2.73</v>
      </c>
      <c r="D113" s="6">
        <f t="shared" si="1"/>
        <v>-2.1739986636405875E-2</v>
      </c>
    </row>
    <row r="114" spans="2:4" x14ac:dyDescent="0.25">
      <c r="B114" s="21">
        <v>44699</v>
      </c>
      <c r="C114">
        <v>2.73</v>
      </c>
      <c r="D114" s="6">
        <f t="shared" si="1"/>
        <v>0</v>
      </c>
    </row>
    <row r="115" spans="2:4" x14ac:dyDescent="0.25">
      <c r="B115" s="21">
        <v>44698</v>
      </c>
      <c r="C115">
        <v>2.74</v>
      </c>
      <c r="D115" s="6">
        <f t="shared" si="1"/>
        <v>3.6563112031104792E-3</v>
      </c>
    </row>
    <row r="116" spans="2:4" x14ac:dyDescent="0.25">
      <c r="B116" s="21">
        <v>44697</v>
      </c>
      <c r="C116">
        <v>2.7</v>
      </c>
      <c r="D116" s="6">
        <f t="shared" si="1"/>
        <v>-1.4706147389695449E-2</v>
      </c>
    </row>
    <row r="117" spans="2:4" x14ac:dyDescent="0.25">
      <c r="B117" s="21">
        <v>44694</v>
      </c>
      <c r="C117">
        <v>2.73</v>
      </c>
      <c r="D117" s="6">
        <f t="shared" si="1"/>
        <v>1.1049836186584935E-2</v>
      </c>
    </row>
    <row r="118" spans="2:4" x14ac:dyDescent="0.25">
      <c r="B118" s="21">
        <v>44693</v>
      </c>
      <c r="C118">
        <v>2.7</v>
      </c>
      <c r="D118" s="6">
        <f t="shared" si="1"/>
        <v>-1.1049836186584935E-2</v>
      </c>
    </row>
    <row r="119" spans="2:4" x14ac:dyDescent="0.25">
      <c r="B119" s="21">
        <v>44692</v>
      </c>
      <c r="C119">
        <v>2.72</v>
      </c>
      <c r="D119" s="6">
        <f t="shared" si="1"/>
        <v>7.38010729762246E-3</v>
      </c>
    </row>
    <row r="120" spans="2:4" x14ac:dyDescent="0.25">
      <c r="B120" s="21">
        <v>44691</v>
      </c>
      <c r="C120">
        <v>2.7</v>
      </c>
      <c r="D120" s="6">
        <f t="shared" si="1"/>
        <v>-7.3801072976225337E-3</v>
      </c>
    </row>
    <row r="121" spans="2:4" x14ac:dyDescent="0.25">
      <c r="B121" s="21">
        <v>44690</v>
      </c>
      <c r="C121">
        <v>2.68</v>
      </c>
      <c r="D121" s="6">
        <f t="shared" si="1"/>
        <v>-7.4349784875180902E-3</v>
      </c>
    </row>
    <row r="122" spans="2:4" x14ac:dyDescent="0.25">
      <c r="B122" s="21">
        <v>44687</v>
      </c>
      <c r="C122">
        <v>2.7</v>
      </c>
      <c r="D122" s="6">
        <f t="shared" si="1"/>
        <v>7.4349784875179905E-3</v>
      </c>
    </row>
    <row r="123" spans="2:4" x14ac:dyDescent="0.25">
      <c r="B123" s="21">
        <v>44686</v>
      </c>
      <c r="C123">
        <v>2.78</v>
      </c>
      <c r="D123" s="6">
        <f t="shared" si="1"/>
        <v>2.9199154692262135E-2</v>
      </c>
    </row>
    <row r="124" spans="2:4" x14ac:dyDescent="0.25">
      <c r="B124" s="21">
        <v>44680</v>
      </c>
      <c r="C124">
        <v>2.79</v>
      </c>
      <c r="D124" s="6">
        <f t="shared" si="1"/>
        <v>3.59066813072854E-3</v>
      </c>
    </row>
    <row r="125" spans="2:4" x14ac:dyDescent="0.25">
      <c r="B125" s="21">
        <v>44679</v>
      </c>
      <c r="C125">
        <v>2.75</v>
      </c>
      <c r="D125" s="6">
        <f t="shared" si="1"/>
        <v>-1.444068415479436E-2</v>
      </c>
    </row>
    <row r="126" spans="2:4" x14ac:dyDescent="0.25">
      <c r="B126" s="21">
        <v>44678</v>
      </c>
      <c r="C126">
        <v>2.71</v>
      </c>
      <c r="D126" s="6">
        <f t="shared" si="1"/>
        <v>-1.4652276786870375E-2</v>
      </c>
    </row>
    <row r="127" spans="2:4" x14ac:dyDescent="0.25">
      <c r="B127" s="21">
        <v>44677</v>
      </c>
      <c r="C127">
        <v>2.66</v>
      </c>
      <c r="D127" s="6">
        <f t="shared" si="1"/>
        <v>-1.8622512098001798E-2</v>
      </c>
    </row>
    <row r="128" spans="2:4" x14ac:dyDescent="0.25">
      <c r="B128" s="21">
        <v>44676</v>
      </c>
      <c r="C128">
        <v>2.66</v>
      </c>
      <c r="D128" s="6">
        <f t="shared" si="1"/>
        <v>0</v>
      </c>
    </row>
    <row r="129" spans="2:4" x14ac:dyDescent="0.25">
      <c r="B129" s="21">
        <v>44673</v>
      </c>
      <c r="C129">
        <v>2.8</v>
      </c>
      <c r="D129" s="6">
        <f t="shared" si="1"/>
        <v>5.1293294387550481E-2</v>
      </c>
    </row>
    <row r="130" spans="2:4" x14ac:dyDescent="0.25">
      <c r="B130" s="21">
        <v>44672</v>
      </c>
      <c r="C130">
        <v>2.78</v>
      </c>
      <c r="D130" s="6">
        <f t="shared" si="1"/>
        <v>-7.168489478612516E-3</v>
      </c>
    </row>
    <row r="131" spans="2:4" x14ac:dyDescent="0.25">
      <c r="B131" s="21">
        <v>44671</v>
      </c>
      <c r="C131">
        <v>2.82</v>
      </c>
      <c r="D131" s="6">
        <f t="shared" si="1"/>
        <v>1.4285957247476434E-2</v>
      </c>
    </row>
    <row r="132" spans="2:4" x14ac:dyDescent="0.25">
      <c r="B132" s="21">
        <v>44670</v>
      </c>
      <c r="C132">
        <v>2.84</v>
      </c>
      <c r="D132" s="6">
        <f t="shared" si="1"/>
        <v>7.0671672230923528E-3</v>
      </c>
    </row>
    <row r="133" spans="2:4" x14ac:dyDescent="0.25">
      <c r="B133" s="21">
        <v>44669</v>
      </c>
      <c r="C133">
        <v>2.87</v>
      </c>
      <c r="D133" s="6">
        <f t="shared" si="1"/>
        <v>1.0507977598415165E-2</v>
      </c>
    </row>
    <row r="134" spans="2:4" x14ac:dyDescent="0.25">
      <c r="B134" s="21">
        <v>44666</v>
      </c>
      <c r="C134">
        <v>2.91</v>
      </c>
      <c r="D134" s="6">
        <f t="shared" ref="D134:D197" si="2">LN(C134/C133)</f>
        <v>1.3841051411871511E-2</v>
      </c>
    </row>
    <row r="135" spans="2:4" x14ac:dyDescent="0.25">
      <c r="B135" s="21">
        <v>44665</v>
      </c>
      <c r="C135">
        <v>2.91</v>
      </c>
      <c r="D135" s="6">
        <f t="shared" si="2"/>
        <v>0</v>
      </c>
    </row>
    <row r="136" spans="2:4" x14ac:dyDescent="0.25">
      <c r="B136" s="21">
        <v>44664</v>
      </c>
      <c r="C136">
        <v>2.87</v>
      </c>
      <c r="D136" s="6">
        <f t="shared" si="2"/>
        <v>-1.3841051411871468E-2</v>
      </c>
    </row>
    <row r="137" spans="2:4" x14ac:dyDescent="0.25">
      <c r="B137" s="21">
        <v>44663</v>
      </c>
      <c r="C137">
        <v>2.88</v>
      </c>
      <c r="D137" s="6">
        <f t="shared" si="2"/>
        <v>3.4782643763247925E-3</v>
      </c>
    </row>
    <row r="138" spans="2:4" x14ac:dyDescent="0.25">
      <c r="B138" s="21">
        <v>44662</v>
      </c>
      <c r="C138">
        <v>2.83</v>
      </c>
      <c r="D138" s="6">
        <f t="shared" si="2"/>
        <v>-1.7513582492708242E-2</v>
      </c>
    </row>
    <row r="139" spans="2:4" x14ac:dyDescent="0.25">
      <c r="B139" s="21">
        <v>44659</v>
      </c>
      <c r="C139">
        <v>2.91</v>
      </c>
      <c r="D139" s="6">
        <f t="shared" si="2"/>
        <v>2.7876369528254868E-2</v>
      </c>
    </row>
    <row r="140" spans="2:4" x14ac:dyDescent="0.25">
      <c r="B140" s="21">
        <v>44658</v>
      </c>
      <c r="C140">
        <v>2.88</v>
      </c>
      <c r="D140" s="6">
        <f t="shared" si="2"/>
        <v>-1.0362787035546659E-2</v>
      </c>
    </row>
    <row r="141" spans="2:4" x14ac:dyDescent="0.25">
      <c r="B141" s="21">
        <v>44657</v>
      </c>
      <c r="C141">
        <v>2.91</v>
      </c>
      <c r="D141" s="6">
        <f t="shared" si="2"/>
        <v>1.0362787035546658E-2</v>
      </c>
    </row>
    <row r="142" spans="2:4" x14ac:dyDescent="0.25">
      <c r="B142" s="21">
        <v>44652</v>
      </c>
      <c r="C142">
        <v>2.92</v>
      </c>
      <c r="D142" s="6">
        <f t="shared" si="2"/>
        <v>3.4305350967892222E-3</v>
      </c>
    </row>
    <row r="143" spans="2:4" x14ac:dyDescent="0.25">
      <c r="B143" s="21">
        <v>44651</v>
      </c>
      <c r="C143">
        <v>2.88</v>
      </c>
      <c r="D143" s="6">
        <f t="shared" si="2"/>
        <v>-1.3793322132335873E-2</v>
      </c>
    </row>
    <row r="144" spans="2:4" x14ac:dyDescent="0.25">
      <c r="B144" s="21">
        <v>44650</v>
      </c>
      <c r="C144">
        <v>2.9</v>
      </c>
      <c r="D144" s="6">
        <f t="shared" si="2"/>
        <v>6.920442844573757E-3</v>
      </c>
    </row>
    <row r="145" spans="2:4" x14ac:dyDescent="0.25">
      <c r="B145" s="21">
        <v>44649</v>
      </c>
      <c r="C145">
        <v>2.82</v>
      </c>
      <c r="D145" s="6">
        <f t="shared" si="2"/>
        <v>-2.797385204240618E-2</v>
      </c>
    </row>
    <row r="146" spans="2:4" x14ac:dyDescent="0.25">
      <c r="B146" s="21">
        <v>44648</v>
      </c>
      <c r="C146">
        <v>2.84</v>
      </c>
      <c r="D146" s="6">
        <f t="shared" si="2"/>
        <v>7.0671672230923528E-3</v>
      </c>
    </row>
    <row r="147" spans="2:4" x14ac:dyDescent="0.25">
      <c r="B147" s="21">
        <v>44645</v>
      </c>
      <c r="C147">
        <v>2.84</v>
      </c>
      <c r="D147" s="6">
        <f t="shared" si="2"/>
        <v>0</v>
      </c>
    </row>
    <row r="148" spans="2:4" x14ac:dyDescent="0.25">
      <c r="B148" s="21">
        <v>44644</v>
      </c>
      <c r="C148">
        <v>2.88</v>
      </c>
      <c r="D148" s="6">
        <f t="shared" si="2"/>
        <v>1.398624197473987E-2</v>
      </c>
    </row>
    <row r="149" spans="2:4" x14ac:dyDescent="0.25">
      <c r="B149" s="21">
        <v>44643</v>
      </c>
      <c r="C149">
        <v>2.9</v>
      </c>
      <c r="D149" s="6">
        <f t="shared" si="2"/>
        <v>6.920442844573757E-3</v>
      </c>
    </row>
    <row r="150" spans="2:4" x14ac:dyDescent="0.25">
      <c r="B150" s="21">
        <v>44642</v>
      </c>
      <c r="C150">
        <v>2.88</v>
      </c>
      <c r="D150" s="6">
        <f t="shared" si="2"/>
        <v>-6.9204428445737952E-3</v>
      </c>
    </row>
    <row r="151" spans="2:4" x14ac:dyDescent="0.25">
      <c r="B151" s="21">
        <v>44641</v>
      </c>
      <c r="C151">
        <v>2.87</v>
      </c>
      <c r="D151" s="6">
        <f t="shared" si="2"/>
        <v>-3.4782643763246971E-3</v>
      </c>
    </row>
    <row r="152" spans="2:4" x14ac:dyDescent="0.25">
      <c r="B152" s="21">
        <v>44638</v>
      </c>
      <c r="C152">
        <v>2.89</v>
      </c>
      <c r="D152" s="6">
        <f t="shared" si="2"/>
        <v>6.944472352810995E-3</v>
      </c>
    </row>
    <row r="153" spans="2:4" x14ac:dyDescent="0.25">
      <c r="B153" s="21">
        <v>44637</v>
      </c>
      <c r="C153">
        <v>2.86</v>
      </c>
      <c r="D153" s="6">
        <f t="shared" si="2"/>
        <v>-1.0434877292579619E-2</v>
      </c>
    </row>
    <row r="154" spans="2:4" x14ac:dyDescent="0.25">
      <c r="B154" s="21">
        <v>44636</v>
      </c>
      <c r="C154">
        <v>2.81</v>
      </c>
      <c r="D154" s="6">
        <f t="shared" si="2"/>
        <v>-1.763714148610673E-2</v>
      </c>
    </row>
    <row r="155" spans="2:4" x14ac:dyDescent="0.25">
      <c r="B155" s="21">
        <v>44635</v>
      </c>
      <c r="C155">
        <v>2.69</v>
      </c>
      <c r="D155" s="6">
        <f t="shared" si="2"/>
        <v>-4.3643289731906745E-2</v>
      </c>
    </row>
    <row r="156" spans="2:4" x14ac:dyDescent="0.25">
      <c r="B156" s="21">
        <v>44634</v>
      </c>
      <c r="C156">
        <v>2.83</v>
      </c>
      <c r="D156" s="6">
        <f t="shared" si="2"/>
        <v>5.0735518041398468E-2</v>
      </c>
    </row>
    <row r="157" spans="2:4" x14ac:dyDescent="0.25">
      <c r="B157" s="21">
        <v>44631</v>
      </c>
      <c r="C157">
        <v>2.92</v>
      </c>
      <c r="D157" s="6">
        <f t="shared" si="2"/>
        <v>3.1306904625044124E-2</v>
      </c>
    </row>
    <row r="158" spans="2:4" x14ac:dyDescent="0.25">
      <c r="B158" s="21">
        <v>44630</v>
      </c>
      <c r="C158">
        <v>2.91</v>
      </c>
      <c r="D158" s="6">
        <f t="shared" si="2"/>
        <v>-3.4305350967891368E-3</v>
      </c>
    </row>
    <row r="159" spans="2:4" x14ac:dyDescent="0.25">
      <c r="B159" s="21">
        <v>44629</v>
      </c>
      <c r="C159">
        <v>2.89</v>
      </c>
      <c r="D159" s="6">
        <f t="shared" si="2"/>
        <v>-6.8965790590603286E-3</v>
      </c>
    </row>
    <row r="160" spans="2:4" x14ac:dyDescent="0.25">
      <c r="B160" s="21">
        <v>44628</v>
      </c>
      <c r="C160">
        <v>2.91</v>
      </c>
      <c r="D160" s="6">
        <f t="shared" si="2"/>
        <v>6.8965790590604587E-3</v>
      </c>
    </row>
    <row r="161" spans="2:4" x14ac:dyDescent="0.25">
      <c r="B161" s="21">
        <v>44627</v>
      </c>
      <c r="C161">
        <v>2.95</v>
      </c>
      <c r="D161" s="6">
        <f t="shared" si="2"/>
        <v>1.3652089168327263E-2</v>
      </c>
    </row>
    <row r="162" spans="2:4" x14ac:dyDescent="0.25">
      <c r="B162" s="21">
        <v>44624</v>
      </c>
      <c r="C162">
        <v>3.05</v>
      </c>
      <c r="D162" s="6">
        <f t="shared" si="2"/>
        <v>3.3336420267591711E-2</v>
      </c>
    </row>
    <row r="163" spans="2:4" x14ac:dyDescent="0.25">
      <c r="B163" s="21">
        <v>44623</v>
      </c>
      <c r="C163">
        <v>3.08</v>
      </c>
      <c r="D163" s="6">
        <f t="shared" si="2"/>
        <v>9.7880063661629439E-3</v>
      </c>
    </row>
    <row r="164" spans="2:4" x14ac:dyDescent="0.25">
      <c r="B164" s="21">
        <v>44622</v>
      </c>
      <c r="C164">
        <v>3.09</v>
      </c>
      <c r="D164" s="6">
        <f t="shared" si="2"/>
        <v>3.2414939241710229E-3</v>
      </c>
    </row>
    <row r="165" spans="2:4" x14ac:dyDescent="0.25">
      <c r="B165" s="21">
        <v>44621</v>
      </c>
      <c r="C165">
        <v>3.11</v>
      </c>
      <c r="D165" s="6">
        <f t="shared" si="2"/>
        <v>6.4516352814885953E-3</v>
      </c>
    </row>
    <row r="166" spans="2:4" x14ac:dyDescent="0.25">
      <c r="B166" s="21">
        <v>44620</v>
      </c>
      <c r="C166">
        <v>3.06</v>
      </c>
      <c r="D166" s="6">
        <f t="shared" si="2"/>
        <v>-1.620781022685331E-2</v>
      </c>
    </row>
    <row r="167" spans="2:4" x14ac:dyDescent="0.25">
      <c r="B167" s="21">
        <v>44617</v>
      </c>
      <c r="C167">
        <v>3.06</v>
      </c>
      <c r="D167" s="6">
        <f t="shared" si="2"/>
        <v>0</v>
      </c>
    </row>
    <row r="168" spans="2:4" x14ac:dyDescent="0.25">
      <c r="B168" s="21">
        <v>44616</v>
      </c>
      <c r="C168">
        <v>3.04</v>
      </c>
      <c r="D168" s="6">
        <f t="shared" si="2"/>
        <v>-6.5574005461590517E-3</v>
      </c>
    </row>
    <row r="169" spans="2:4" x14ac:dyDescent="0.25">
      <c r="B169" s="21">
        <v>44615</v>
      </c>
      <c r="C169">
        <v>3.1</v>
      </c>
      <c r="D169" s="6">
        <f t="shared" si="2"/>
        <v>1.9544596072970346E-2</v>
      </c>
    </row>
    <row r="170" spans="2:4" x14ac:dyDescent="0.25">
      <c r="B170" s="21">
        <v>44614</v>
      </c>
      <c r="C170">
        <v>3.08</v>
      </c>
      <c r="D170" s="6">
        <f t="shared" si="2"/>
        <v>-6.4725145056174788E-3</v>
      </c>
    </row>
    <row r="171" spans="2:4" x14ac:dyDescent="0.25">
      <c r="B171" s="21">
        <v>44613</v>
      </c>
      <c r="C171">
        <v>3.13</v>
      </c>
      <c r="D171" s="6">
        <f t="shared" si="2"/>
        <v>1.6103407566578673E-2</v>
      </c>
    </row>
    <row r="172" spans="2:4" x14ac:dyDescent="0.25">
      <c r="B172" s="21">
        <v>44610</v>
      </c>
      <c r="C172">
        <v>3.14</v>
      </c>
      <c r="D172" s="6">
        <f t="shared" si="2"/>
        <v>3.189795368100302E-3</v>
      </c>
    </row>
    <row r="173" spans="2:4" x14ac:dyDescent="0.25">
      <c r="B173" s="21">
        <v>44609</v>
      </c>
      <c r="C173">
        <v>3.12</v>
      </c>
      <c r="D173" s="6">
        <f t="shared" si="2"/>
        <v>-6.38979809877101E-3</v>
      </c>
    </row>
    <row r="174" spans="2:4" x14ac:dyDescent="0.25">
      <c r="B174" s="21">
        <v>44608</v>
      </c>
      <c r="C174">
        <v>3.12</v>
      </c>
      <c r="D174" s="6">
        <f t="shared" si="2"/>
        <v>0</v>
      </c>
    </row>
    <row r="175" spans="2:4" x14ac:dyDescent="0.25">
      <c r="B175" s="21">
        <v>44607</v>
      </c>
      <c r="C175">
        <v>3.1</v>
      </c>
      <c r="D175" s="6">
        <f t="shared" si="2"/>
        <v>-6.4308903302904025E-3</v>
      </c>
    </row>
    <row r="176" spans="2:4" x14ac:dyDescent="0.25">
      <c r="B176" s="21">
        <v>44606</v>
      </c>
      <c r="C176">
        <v>3.09</v>
      </c>
      <c r="D176" s="6">
        <f t="shared" si="2"/>
        <v>-3.2310205814465318E-3</v>
      </c>
    </row>
    <row r="177" spans="2:4" x14ac:dyDescent="0.25">
      <c r="B177" s="21">
        <v>44603</v>
      </c>
      <c r="C177">
        <v>3.12</v>
      </c>
      <c r="D177" s="6">
        <f t="shared" si="2"/>
        <v>9.6619109117368901E-3</v>
      </c>
    </row>
    <row r="178" spans="2:4" x14ac:dyDescent="0.25">
      <c r="B178" s="21">
        <v>44602</v>
      </c>
      <c r="C178">
        <v>3.13</v>
      </c>
      <c r="D178" s="6">
        <f t="shared" si="2"/>
        <v>3.2000027306708497E-3</v>
      </c>
    </row>
    <row r="179" spans="2:4" x14ac:dyDescent="0.25">
      <c r="B179" s="21">
        <v>44601</v>
      </c>
      <c r="C179">
        <v>3.12</v>
      </c>
      <c r="D179" s="6">
        <f t="shared" si="2"/>
        <v>-3.2000027306707912E-3</v>
      </c>
    </row>
    <row r="180" spans="2:4" x14ac:dyDescent="0.25">
      <c r="B180" s="21">
        <v>44600</v>
      </c>
      <c r="C180">
        <v>3.1</v>
      </c>
      <c r="D180" s="6">
        <f t="shared" si="2"/>
        <v>-6.4308903302904025E-3</v>
      </c>
    </row>
    <row r="181" spans="2:4" x14ac:dyDescent="0.25">
      <c r="B181" s="21">
        <v>44599</v>
      </c>
      <c r="C181">
        <v>3.1</v>
      </c>
      <c r="D181" s="6">
        <f t="shared" si="2"/>
        <v>0</v>
      </c>
    </row>
    <row r="182" spans="2:4" x14ac:dyDescent="0.25">
      <c r="B182" s="21">
        <v>44589</v>
      </c>
      <c r="C182">
        <v>3.04</v>
      </c>
      <c r="D182" s="6">
        <f t="shared" si="2"/>
        <v>-1.9544596072970283E-2</v>
      </c>
    </row>
    <row r="183" spans="2:4" x14ac:dyDescent="0.25">
      <c r="B183" s="21">
        <v>44588</v>
      </c>
      <c r="C183">
        <v>3.11</v>
      </c>
      <c r="D183" s="6">
        <f t="shared" si="2"/>
        <v>2.2765210773012426E-2</v>
      </c>
    </row>
    <row r="184" spans="2:4" x14ac:dyDescent="0.25">
      <c r="B184" s="21">
        <v>44587</v>
      </c>
      <c r="C184">
        <v>3.14</v>
      </c>
      <c r="D184" s="6">
        <f t="shared" si="2"/>
        <v>9.6000737290193577E-3</v>
      </c>
    </row>
    <row r="185" spans="2:4" x14ac:dyDescent="0.25">
      <c r="B185" s="21">
        <v>44586</v>
      </c>
      <c r="C185">
        <v>3.13</v>
      </c>
      <c r="D185" s="6">
        <f t="shared" si="2"/>
        <v>-3.1897953681002608E-3</v>
      </c>
    </row>
    <row r="186" spans="2:4" x14ac:dyDescent="0.25">
      <c r="B186" s="21">
        <v>44585</v>
      </c>
      <c r="C186">
        <v>3.19</v>
      </c>
      <c r="D186" s="6">
        <f t="shared" si="2"/>
        <v>1.8987912244691381E-2</v>
      </c>
    </row>
    <row r="187" spans="2:4" x14ac:dyDescent="0.25">
      <c r="B187" s="21">
        <v>44582</v>
      </c>
      <c r="C187">
        <v>3.21</v>
      </c>
      <c r="D187" s="6">
        <f t="shared" si="2"/>
        <v>6.2500203451713258E-3</v>
      </c>
    </row>
    <row r="188" spans="2:4" x14ac:dyDescent="0.25">
      <c r="B188" s="21">
        <v>44581</v>
      </c>
      <c r="C188">
        <v>3.21</v>
      </c>
      <c r="D188" s="6">
        <f t="shared" si="2"/>
        <v>0</v>
      </c>
    </row>
    <row r="189" spans="2:4" x14ac:dyDescent="0.25">
      <c r="B189" s="21">
        <v>44580</v>
      </c>
      <c r="C189">
        <v>3.17</v>
      </c>
      <c r="D189" s="6">
        <f t="shared" si="2"/>
        <v>-1.2539349252735251E-2</v>
      </c>
    </row>
    <row r="190" spans="2:4" x14ac:dyDescent="0.25">
      <c r="B190" s="21">
        <v>44579</v>
      </c>
      <c r="C190">
        <v>3.17</v>
      </c>
      <c r="D190" s="6">
        <f t="shared" si="2"/>
        <v>0</v>
      </c>
    </row>
    <row r="191" spans="2:4" x14ac:dyDescent="0.25">
      <c r="B191" s="21">
        <v>44578</v>
      </c>
      <c r="C191">
        <v>3.13</v>
      </c>
      <c r="D191" s="6">
        <f t="shared" si="2"/>
        <v>-1.2698583337127431E-2</v>
      </c>
    </row>
    <row r="192" spans="2:4" x14ac:dyDescent="0.25">
      <c r="B192" s="21">
        <v>44575</v>
      </c>
      <c r="C192">
        <v>3.12</v>
      </c>
      <c r="D192" s="6">
        <f t="shared" si="2"/>
        <v>-3.2000027306707912E-3</v>
      </c>
    </row>
    <row r="193" spans="2:4" x14ac:dyDescent="0.25">
      <c r="B193" s="21">
        <v>44574</v>
      </c>
      <c r="C193">
        <v>3.17</v>
      </c>
      <c r="D193" s="6">
        <f t="shared" si="2"/>
        <v>1.5898586067798204E-2</v>
      </c>
    </row>
    <row r="194" spans="2:4" x14ac:dyDescent="0.25">
      <c r="B194" s="21">
        <v>44573</v>
      </c>
      <c r="C194">
        <v>3.22</v>
      </c>
      <c r="D194" s="6">
        <f t="shared" si="2"/>
        <v>1.5649771667127815E-2</v>
      </c>
    </row>
    <row r="195" spans="2:4" x14ac:dyDescent="0.25">
      <c r="B195" s="21">
        <v>44572</v>
      </c>
      <c r="C195">
        <v>3.2</v>
      </c>
      <c r="D195" s="6">
        <f t="shared" si="2"/>
        <v>-6.2305497506360864E-3</v>
      </c>
    </row>
    <row r="196" spans="2:4" x14ac:dyDescent="0.25">
      <c r="B196" s="21">
        <v>44571</v>
      </c>
      <c r="C196">
        <v>3.22</v>
      </c>
      <c r="D196" s="6">
        <f t="shared" si="2"/>
        <v>6.2305497506361628E-3</v>
      </c>
    </row>
    <row r="197" spans="2:4" x14ac:dyDescent="0.25">
      <c r="B197" s="21">
        <v>44568</v>
      </c>
      <c r="C197">
        <v>3.21</v>
      </c>
      <c r="D197" s="6">
        <f t="shared" si="2"/>
        <v>-3.1104224143925024E-3</v>
      </c>
    </row>
    <row r="198" spans="2:4" x14ac:dyDescent="0.25">
      <c r="B198" s="21">
        <v>44567</v>
      </c>
      <c r="C198">
        <v>3.19</v>
      </c>
      <c r="D198" s="6">
        <f t="shared" ref="D198:D253" si="3">LN(C198/C197)</f>
        <v>-6.2500203451712946E-3</v>
      </c>
    </row>
    <row r="199" spans="2:4" x14ac:dyDescent="0.25">
      <c r="B199" s="21">
        <v>44566</v>
      </c>
      <c r="C199">
        <v>3.24</v>
      </c>
      <c r="D199" s="6">
        <f t="shared" si="3"/>
        <v>1.5552413007485003E-2</v>
      </c>
    </row>
    <row r="200" spans="2:4" x14ac:dyDescent="0.25">
      <c r="B200" s="21">
        <v>44565</v>
      </c>
      <c r="C200">
        <v>3.25</v>
      </c>
      <c r="D200" s="6">
        <f t="shared" si="3"/>
        <v>3.0816665374081144E-3</v>
      </c>
    </row>
    <row r="201" spans="2:4" x14ac:dyDescent="0.25">
      <c r="B201" s="21">
        <v>44561</v>
      </c>
      <c r="C201">
        <v>3.26</v>
      </c>
      <c r="D201" s="6">
        <f t="shared" si="3"/>
        <v>3.0721990369700588E-3</v>
      </c>
    </row>
    <row r="202" spans="2:4" x14ac:dyDescent="0.25">
      <c r="B202" s="21">
        <v>44560</v>
      </c>
      <c r="C202">
        <v>3.25</v>
      </c>
      <c r="D202" s="6">
        <f t="shared" si="3"/>
        <v>-3.0721990369701403E-3</v>
      </c>
    </row>
    <row r="203" spans="2:4" x14ac:dyDescent="0.25">
      <c r="B203" s="21">
        <v>44559</v>
      </c>
      <c r="C203">
        <v>3.22</v>
      </c>
      <c r="D203" s="6">
        <f t="shared" si="3"/>
        <v>-9.2736367853291021E-3</v>
      </c>
    </row>
    <row r="204" spans="2:4" x14ac:dyDescent="0.25">
      <c r="B204" s="21">
        <v>44558</v>
      </c>
      <c r="C204">
        <v>3.29</v>
      </c>
      <c r="D204" s="6">
        <f t="shared" si="3"/>
        <v>2.1506205220963463E-2</v>
      </c>
    </row>
    <row r="205" spans="2:4" x14ac:dyDescent="0.25">
      <c r="B205" s="21">
        <v>44557</v>
      </c>
      <c r="C205">
        <v>3.27</v>
      </c>
      <c r="D205" s="6">
        <f t="shared" si="3"/>
        <v>-6.0975798681185567E-3</v>
      </c>
    </row>
    <row r="206" spans="2:4" x14ac:dyDescent="0.25">
      <c r="B206" s="21">
        <v>44554</v>
      </c>
      <c r="C206">
        <v>3.27</v>
      </c>
      <c r="D206" s="6">
        <f t="shared" si="3"/>
        <v>0</v>
      </c>
    </row>
    <row r="207" spans="2:4" x14ac:dyDescent="0.25">
      <c r="B207" s="21">
        <v>44553</v>
      </c>
      <c r="C207">
        <v>3.28</v>
      </c>
      <c r="D207" s="6">
        <f t="shared" si="3"/>
        <v>3.0534374868902482E-3</v>
      </c>
    </row>
    <row r="208" spans="2:4" x14ac:dyDescent="0.25">
      <c r="B208" s="21">
        <v>44552</v>
      </c>
      <c r="C208">
        <v>3.24</v>
      </c>
      <c r="D208" s="6">
        <f t="shared" si="3"/>
        <v>-1.2270092591814247E-2</v>
      </c>
    </row>
    <row r="209" spans="2:4" x14ac:dyDescent="0.25">
      <c r="B209" s="21">
        <v>44551</v>
      </c>
      <c r="C209">
        <v>3.26</v>
      </c>
      <c r="D209" s="6">
        <f t="shared" si="3"/>
        <v>6.1538655743780656E-3</v>
      </c>
    </row>
    <row r="210" spans="2:4" x14ac:dyDescent="0.25">
      <c r="B210" s="21">
        <v>44550</v>
      </c>
      <c r="C210">
        <v>3.24</v>
      </c>
      <c r="D210" s="6">
        <f t="shared" si="3"/>
        <v>-6.1538655743781116E-3</v>
      </c>
    </row>
    <row r="211" spans="2:4" x14ac:dyDescent="0.25">
      <c r="B211" s="21">
        <v>44547</v>
      </c>
      <c r="C211">
        <v>3.27</v>
      </c>
      <c r="D211" s="6">
        <f t="shared" si="3"/>
        <v>9.2166551049240476E-3</v>
      </c>
    </row>
    <row r="212" spans="2:4" x14ac:dyDescent="0.25">
      <c r="B212" s="21">
        <v>44546</v>
      </c>
      <c r="C212">
        <v>3.32</v>
      </c>
      <c r="D212" s="6">
        <f t="shared" si="3"/>
        <v>1.5174798019235132E-2</v>
      </c>
    </row>
    <row r="213" spans="2:4" x14ac:dyDescent="0.25">
      <c r="B213" s="21">
        <v>44545</v>
      </c>
      <c r="C213">
        <v>3.3</v>
      </c>
      <c r="D213" s="6">
        <f t="shared" si="3"/>
        <v>-6.0423144559625863E-3</v>
      </c>
    </row>
    <row r="214" spans="2:4" x14ac:dyDescent="0.25">
      <c r="B214" s="21">
        <v>44544</v>
      </c>
      <c r="C214">
        <v>3.34</v>
      </c>
      <c r="D214" s="6">
        <f t="shared" si="3"/>
        <v>1.2048338516174574E-2</v>
      </c>
    </row>
    <row r="215" spans="2:4" x14ac:dyDescent="0.25">
      <c r="B215" s="21">
        <v>44543</v>
      </c>
      <c r="C215">
        <v>3.35</v>
      </c>
      <c r="D215" s="6">
        <f t="shared" si="3"/>
        <v>2.9895388483659859E-3</v>
      </c>
    </row>
    <row r="216" spans="2:4" x14ac:dyDescent="0.25">
      <c r="B216" s="21">
        <v>44540</v>
      </c>
      <c r="C216">
        <v>3.35</v>
      </c>
      <c r="D216" s="6">
        <f t="shared" si="3"/>
        <v>0</v>
      </c>
    </row>
    <row r="217" spans="2:4" x14ac:dyDescent="0.25">
      <c r="B217" s="21">
        <v>44539</v>
      </c>
      <c r="C217">
        <v>3.35</v>
      </c>
      <c r="D217" s="6">
        <f t="shared" si="3"/>
        <v>0</v>
      </c>
    </row>
    <row r="218" spans="2:4" x14ac:dyDescent="0.25">
      <c r="B218" s="21">
        <v>44538</v>
      </c>
      <c r="C218">
        <v>3.3</v>
      </c>
      <c r="D218" s="6">
        <f t="shared" si="3"/>
        <v>-1.5037877364540559E-2</v>
      </c>
    </row>
    <row r="219" spans="2:4" x14ac:dyDescent="0.25">
      <c r="B219" s="21">
        <v>44537</v>
      </c>
      <c r="C219">
        <v>3.25</v>
      </c>
      <c r="D219" s="6">
        <f t="shared" si="3"/>
        <v>-1.5267472130788421E-2</v>
      </c>
    </row>
    <row r="220" spans="2:4" x14ac:dyDescent="0.25">
      <c r="B220" s="21">
        <v>44536</v>
      </c>
      <c r="C220">
        <v>3.22</v>
      </c>
      <c r="D220" s="6">
        <f t="shared" si="3"/>
        <v>-9.2736367853291021E-3</v>
      </c>
    </row>
    <row r="221" spans="2:4" x14ac:dyDescent="0.25">
      <c r="B221" s="21">
        <v>44533</v>
      </c>
      <c r="C221">
        <v>3.21</v>
      </c>
      <c r="D221" s="6">
        <f t="shared" si="3"/>
        <v>-3.1104224143925024E-3</v>
      </c>
    </row>
    <row r="222" spans="2:4" x14ac:dyDescent="0.25">
      <c r="B222" s="21">
        <v>44532</v>
      </c>
      <c r="C222">
        <v>3.19</v>
      </c>
      <c r="D222" s="6">
        <f t="shared" si="3"/>
        <v>-6.2500203451712946E-3</v>
      </c>
    </row>
    <row r="223" spans="2:4" x14ac:dyDescent="0.25">
      <c r="B223" s="21">
        <v>44531</v>
      </c>
      <c r="C223">
        <v>3.18</v>
      </c>
      <c r="D223" s="6">
        <f t="shared" si="3"/>
        <v>-3.1397200046676412E-3</v>
      </c>
    </row>
    <row r="224" spans="2:4" x14ac:dyDescent="0.25">
      <c r="B224" s="21">
        <v>44530</v>
      </c>
      <c r="C224">
        <v>3.16</v>
      </c>
      <c r="D224" s="6">
        <f t="shared" si="3"/>
        <v>-6.309169193264721E-3</v>
      </c>
    </row>
    <row r="225" spans="2:4" x14ac:dyDescent="0.25">
      <c r="B225" s="21">
        <v>44529</v>
      </c>
      <c r="C225">
        <v>3.18</v>
      </c>
      <c r="D225" s="6">
        <f t="shared" si="3"/>
        <v>6.3091691932647556E-3</v>
      </c>
    </row>
    <row r="226" spans="2:4" x14ac:dyDescent="0.25">
      <c r="B226" s="21">
        <v>44526</v>
      </c>
      <c r="C226">
        <v>3.22</v>
      </c>
      <c r="D226" s="6">
        <f t="shared" si="3"/>
        <v>1.2500162764231468E-2</v>
      </c>
    </row>
    <row r="227" spans="2:4" x14ac:dyDescent="0.25">
      <c r="B227" s="21">
        <v>44525</v>
      </c>
      <c r="C227">
        <v>3.25</v>
      </c>
      <c r="D227" s="6">
        <f t="shared" si="3"/>
        <v>9.2736367853290327E-3</v>
      </c>
    </row>
    <row r="228" spans="2:4" x14ac:dyDescent="0.25">
      <c r="B228" s="21">
        <v>44524</v>
      </c>
      <c r="C228">
        <v>3.27</v>
      </c>
      <c r="D228" s="6">
        <f t="shared" si="3"/>
        <v>6.1349885675159293E-3</v>
      </c>
    </row>
    <row r="229" spans="2:4" x14ac:dyDescent="0.25">
      <c r="B229" s="21">
        <v>44523</v>
      </c>
      <c r="C229">
        <v>3.26</v>
      </c>
      <c r="D229" s="6">
        <f t="shared" si="3"/>
        <v>-3.0627895305457668E-3</v>
      </c>
    </row>
    <row r="230" spans="2:4" x14ac:dyDescent="0.25">
      <c r="B230" s="21">
        <v>44522</v>
      </c>
      <c r="C230">
        <v>3.25</v>
      </c>
      <c r="D230" s="6">
        <f t="shared" si="3"/>
        <v>-3.0721990369701403E-3</v>
      </c>
    </row>
    <row r="231" spans="2:4" x14ac:dyDescent="0.25">
      <c r="B231" s="21">
        <v>44519</v>
      </c>
      <c r="C231">
        <v>3.25</v>
      </c>
      <c r="D231" s="6">
        <f t="shared" si="3"/>
        <v>0</v>
      </c>
    </row>
    <row r="232" spans="2:4" x14ac:dyDescent="0.25">
      <c r="B232" s="21">
        <v>44518</v>
      </c>
      <c r="C232">
        <v>3.21</v>
      </c>
      <c r="D232" s="6">
        <f t="shared" si="3"/>
        <v>-1.2384059199721666E-2</v>
      </c>
    </row>
    <row r="233" spans="2:4" x14ac:dyDescent="0.25">
      <c r="B233" s="21">
        <v>44517</v>
      </c>
      <c r="C233">
        <v>3.24</v>
      </c>
      <c r="D233" s="6">
        <f t="shared" si="3"/>
        <v>9.3023926623136306E-3</v>
      </c>
    </row>
    <row r="234" spans="2:4" x14ac:dyDescent="0.25">
      <c r="B234" s="21">
        <v>44516</v>
      </c>
      <c r="C234">
        <v>3.26</v>
      </c>
      <c r="D234" s="6">
        <f t="shared" si="3"/>
        <v>6.1538655743780656E-3</v>
      </c>
    </row>
    <row r="235" spans="2:4" x14ac:dyDescent="0.25">
      <c r="B235" s="21">
        <v>44515</v>
      </c>
      <c r="C235">
        <v>3.26</v>
      </c>
      <c r="D235" s="6">
        <f t="shared" si="3"/>
        <v>0</v>
      </c>
    </row>
    <row r="236" spans="2:4" x14ac:dyDescent="0.25">
      <c r="B236" s="21">
        <v>44512</v>
      </c>
      <c r="C236">
        <v>3.26</v>
      </c>
      <c r="D236" s="6">
        <f t="shared" si="3"/>
        <v>0</v>
      </c>
    </row>
    <row r="237" spans="2:4" x14ac:dyDescent="0.25">
      <c r="B237" s="21">
        <v>44511</v>
      </c>
      <c r="C237">
        <v>3.28</v>
      </c>
      <c r="D237" s="6">
        <f t="shared" si="3"/>
        <v>6.1162270174360536E-3</v>
      </c>
    </row>
    <row r="238" spans="2:4" x14ac:dyDescent="0.25">
      <c r="B238" s="21">
        <v>44510</v>
      </c>
      <c r="C238">
        <v>3.21</v>
      </c>
      <c r="D238" s="6">
        <f t="shared" si="3"/>
        <v>-2.1572485254127773E-2</v>
      </c>
    </row>
    <row r="239" spans="2:4" x14ac:dyDescent="0.25">
      <c r="B239" s="21">
        <v>44509</v>
      </c>
      <c r="C239">
        <v>3.22</v>
      </c>
      <c r="D239" s="6">
        <f t="shared" si="3"/>
        <v>3.1104224143925518E-3</v>
      </c>
    </row>
    <row r="240" spans="2:4" x14ac:dyDescent="0.25">
      <c r="B240" s="21">
        <v>44508</v>
      </c>
      <c r="C240">
        <v>3.23</v>
      </c>
      <c r="D240" s="6">
        <f t="shared" si="3"/>
        <v>3.1007776782481854E-3</v>
      </c>
    </row>
    <row r="241" spans="2:4" x14ac:dyDescent="0.25">
      <c r="B241" s="21">
        <v>44505</v>
      </c>
      <c r="C241">
        <v>3.24</v>
      </c>
      <c r="D241" s="6">
        <f t="shared" si="3"/>
        <v>3.0911925696728796E-3</v>
      </c>
    </row>
    <row r="242" spans="2:4" x14ac:dyDescent="0.25">
      <c r="B242" s="21">
        <v>44504</v>
      </c>
      <c r="C242">
        <v>3.24</v>
      </c>
      <c r="D242" s="6">
        <f t="shared" si="3"/>
        <v>0</v>
      </c>
    </row>
    <row r="243" spans="2:4" x14ac:dyDescent="0.25">
      <c r="B243" s="21">
        <v>44503</v>
      </c>
      <c r="C243">
        <v>3.22</v>
      </c>
      <c r="D243" s="6">
        <f t="shared" si="3"/>
        <v>-6.191970247921107E-3</v>
      </c>
    </row>
    <row r="244" spans="2:4" x14ac:dyDescent="0.25">
      <c r="B244" s="21">
        <v>44502</v>
      </c>
      <c r="C244">
        <v>3.25</v>
      </c>
      <c r="D244" s="6">
        <f t="shared" si="3"/>
        <v>9.2736367853290327E-3</v>
      </c>
    </row>
    <row r="245" spans="2:4" x14ac:dyDescent="0.25">
      <c r="B245" s="21">
        <v>44501</v>
      </c>
      <c r="C245">
        <v>3.29</v>
      </c>
      <c r="D245" s="6">
        <f t="shared" si="3"/>
        <v>1.2232568435634451E-2</v>
      </c>
    </row>
    <row r="246" spans="2:4" x14ac:dyDescent="0.25">
      <c r="B246" s="21">
        <v>44498</v>
      </c>
      <c r="C246">
        <v>3.3</v>
      </c>
      <c r="D246" s="6">
        <f t="shared" si="3"/>
        <v>3.0349036951538896E-3</v>
      </c>
    </row>
    <row r="247" spans="2:4" x14ac:dyDescent="0.25">
      <c r="B247" s="21">
        <v>44497</v>
      </c>
      <c r="C247">
        <v>3.29</v>
      </c>
      <c r="D247" s="6">
        <f t="shared" si="3"/>
        <v>-3.034903695153936E-3</v>
      </c>
    </row>
    <row r="248" spans="2:4" x14ac:dyDescent="0.25">
      <c r="B248" s="21">
        <v>44496</v>
      </c>
      <c r="C248">
        <v>3.29</v>
      </c>
      <c r="D248" s="6">
        <f t="shared" si="3"/>
        <v>0</v>
      </c>
    </row>
    <row r="249" spans="2:4" x14ac:dyDescent="0.25">
      <c r="B249" s="21">
        <v>44495</v>
      </c>
      <c r="C249">
        <v>3.33</v>
      </c>
      <c r="D249" s="6">
        <f t="shared" si="3"/>
        <v>1.2084739215072046E-2</v>
      </c>
    </row>
    <row r="250" spans="2:4" x14ac:dyDescent="0.25">
      <c r="B250" s="21">
        <v>44494</v>
      </c>
      <c r="C250">
        <v>3.35</v>
      </c>
      <c r="D250" s="6">
        <f t="shared" si="3"/>
        <v>5.9880418446226933E-3</v>
      </c>
    </row>
    <row r="251" spans="2:4" x14ac:dyDescent="0.25">
      <c r="B251" s="21">
        <v>44491</v>
      </c>
      <c r="C251">
        <v>3.35</v>
      </c>
      <c r="D251" s="6">
        <f t="shared" si="3"/>
        <v>0</v>
      </c>
    </row>
    <row r="252" spans="2:4" x14ac:dyDescent="0.25">
      <c r="B252" s="21">
        <v>44490</v>
      </c>
      <c r="C252">
        <v>3.31</v>
      </c>
      <c r="D252" s="6">
        <f t="shared" si="3"/>
        <v>-1.2012156448003545E-2</v>
      </c>
    </row>
    <row r="253" spans="2:4" x14ac:dyDescent="0.25">
      <c r="B253" s="21">
        <v>44489</v>
      </c>
      <c r="C253">
        <v>3.29</v>
      </c>
      <c r="D253" s="6">
        <f t="shared" si="3"/>
        <v>-6.0606246116910699E-3</v>
      </c>
    </row>
  </sheetData>
  <phoneticPr fontId="1" type="noConversion"/>
  <hyperlinks>
    <hyperlink ref="A1" location="目录!A1" display="Back" xr:uid="{D8D01818-3FC6-4E73-BBC7-80B241D9C677}"/>
  </hyperlink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5</vt:i4>
      </vt:variant>
    </vt:vector>
  </HeadingPairs>
  <TitlesOfParts>
    <vt:vector size="11" baseType="lpstr">
      <vt:lpstr>目录</vt:lpstr>
      <vt:lpstr>Background</vt:lpstr>
      <vt:lpstr>ASimpleExample</vt:lpstr>
      <vt:lpstr>50EFTOption</vt:lpstr>
      <vt:lpstr>BinomialVSBS</vt:lpstr>
      <vt:lpstr>HistoricalVolatility</vt:lpstr>
      <vt:lpstr>rate</vt:lpstr>
      <vt:lpstr>S</vt:lpstr>
      <vt:lpstr>Sigma</vt:lpstr>
      <vt:lpstr>T</vt:lpstr>
      <vt:lpstr>X</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2022-10-01T17:07:48Z</dcterms:created>
  <dcterms:modified xsi:type="dcterms:W3CDTF">2022-10-29T17:56:37Z</dcterms:modified>
  <cp:category/>
  <cp:contentStatus/>
</cp:coreProperties>
</file>